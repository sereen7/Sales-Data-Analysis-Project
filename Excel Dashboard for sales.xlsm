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Asus\Desktop\Excel Tutorials\Tutorial 4 - Seles Analysis\Work Files\"/>
    </mc:Choice>
  </mc:AlternateContent>
  <xr:revisionPtr revIDLastSave="0" documentId="13_ncr:1_{1CB26504-BE12-449D-9700-4454D3501D22}" xr6:coauthVersionLast="47" xr6:coauthVersionMax="47" xr10:uidLastSave="{00000000-0000-0000-0000-000000000000}"/>
  <bookViews>
    <workbookView xWindow="-108" yWindow="-108" windowWidth="23256" windowHeight="12456" xr2:uid="{DAE630D4-939F-40A3-A241-AB19137C5291}"/>
  </bookViews>
  <sheets>
    <sheet name="Dashboard" sheetId="1" r:id="rId1"/>
    <sheet name="Sheet1" sheetId="2" r:id="rId2"/>
    <sheet name="Analysis" sheetId="3" r:id="rId3"/>
  </sheets>
  <externalReferences>
    <externalReference r:id="rId4"/>
  </externalReferences>
  <definedNames>
    <definedName name="_xleta.IF" hidden="1" xlm="1">#NAME?</definedName>
    <definedName name="All_Transaction">Sheet1!$E$6</definedName>
    <definedName name="COGS">Sheet1!$D$10</definedName>
    <definedName name="Net_Profit">Sheet1!$E$10</definedName>
    <definedName name="_xlnm.Print_Area" localSheetId="1">Sheet1!$A$1:$AH$53</definedName>
    <definedName name="Quantity">Sheet1!$B$10</definedName>
    <definedName name="Revenue">Sheet1!$C$10</definedName>
    <definedName name="Slicer_County">#N/A</definedName>
    <definedName name="Slicer_Product_Name">#N/A</definedName>
    <definedName name="Slicer_Purchase_Date__Month">#N/A</definedName>
    <definedName name="Total_country">Sheet1!$D$6</definedName>
    <definedName name="Total_customers">Sheet1!$B$6</definedName>
    <definedName name="Total_product">Sheet1!$C$6</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71ad25f8-a4c8-45d7-bee2-099a00595bd5" name="FactTable" connection="Query - FactTable"/>
          <x15:modelTable id="Customer_Data_794f7a3a-65cf-45d3-bc3f-43ce5f071764" name="Customer_Data" connection="Query - Customer_Data"/>
          <x15:modelTable id="Product_Data_a5c405cf-4769-4e85-b201-305675cf7194" name="Product_Data" connection="Query - Product_Data"/>
          <x15:modelTable id="Salespeople_Data_33c69471-8b5a-43d5-954d-8af5e1f2641e" name="Salespeople_Data" connection="Query - Salespeople_Data"/>
          <x15:modelTable id="Location_Data_f6027c90-18a7-463f-aabb-b712c043584b" name="Location_Data" connection="Query - Location_Data"/>
        </x15:modelTables>
        <x15:modelRelationships>
          <x15:modelRelationship fromTable="FactTable" fromColumn="Sales Person ID" toTable="Salespeople_Data" toColumn="Salesperson ID"/>
          <x15:modelRelationship fromTable="FactTable" fromColumn="Customer ID" toTable="Customer_Data" toColumn="Customer ID"/>
          <x15:modelRelationship fromTable="FactTable" fromColumn="Product ID" toTable="Product_Data" toColumn="Product ID"/>
          <x15:modelRelationship fromTable="FactTable" fromColumn="Location ID" toTable="Location_Data" toColumn="Location ID"/>
        </x15:modelRelationships>
        <x15:extLst>
          <ext xmlns:x16="http://schemas.microsoft.com/office/spreadsheetml/2014/11/main" uri="{9835A34E-60A6-4A7C-AAB8-D5F71C897F49}">
            <x16:modelTimeGroupings>
              <x16:modelTimeGrouping tableName="FactTable" columnName="Purchase Date" columnId="Purchase Date">
                <x16:calculatedTimeColumn columnName="Purchase Date (Year)" columnId="Purchase Date (Year)" contentType="years" isSelected="1"/>
                <x16:calculatedTimeColumn columnName="Purchase Date (Quarter)" columnId="Purchase Date (Quarter)" contentType="quarters" isSelected="1"/>
                <x16:calculatedTimeColumn columnName="Purchase Date (Month Index)" columnId="Purchase Date (Month Index)" contentType="monthsindex" isSelected="1"/>
                <x16:calculatedTimeColumn columnName="Purchase Date (Month)" columnId="Purchase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5" i="3" l="1"/>
  <c r="N16" i="3"/>
  <c r="N17" i="3"/>
  <c r="N14" i="3"/>
  <c r="M14" i="3"/>
  <c r="M15" i="3"/>
  <c r="M16" i="3"/>
  <c r="M17" i="3"/>
  <c r="T11" i="3"/>
  <c r="T10" i="3"/>
  <c r="T9" i="3"/>
  <c r="K15" i="3"/>
  <c r="I19" i="3"/>
  <c r="K20" i="3" l="1"/>
  <c r="B1" i="3"/>
  <c r="I20" i="3"/>
  <c r="I18" i="3"/>
  <c r="I17" i="3"/>
  <c r="E15" i="2"/>
  <c r="C14" i="2"/>
  <c r="D15" i="2"/>
  <c r="C15" i="2"/>
  <c r="E14" i="2"/>
  <c r="D14" i="2"/>
  <c r="I11" i="3"/>
  <c r="I10" i="3"/>
  <c r="I9" i="3"/>
  <c r="G11" i="3"/>
  <c r="G10" i="3"/>
  <c r="G9" i="3"/>
  <c r="H9" i="3" l="1"/>
  <c r="H10" i="3"/>
  <c r="H11" i="3"/>
  <c r="D18" i="2"/>
  <c r="E18" i="2"/>
  <c r="C19" i="2"/>
  <c r="D19" i="2"/>
  <c r="C18" i="2"/>
  <c r="E1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C72FBB3-1B0F-4C91-94C2-1E67324CE78F}" name="Query - Customer_Data" description="Connection to the 'Customer_Data' query in the workbook." type="100" refreshedVersion="8" minRefreshableVersion="5">
    <extLst>
      <ext xmlns:x15="http://schemas.microsoft.com/office/spreadsheetml/2010/11/main" uri="{DE250136-89BD-433C-8126-D09CA5730AF9}">
        <x15:connection id="d35ff742-256b-49cf-be29-d436f9610358"/>
      </ext>
    </extLst>
  </connection>
  <connection id="2" xr16:uid="{8D4FABB6-02B8-45D8-AF06-5A7B3858F480}" name="Query - FactTable" description="Connection to the 'FactTable' query in the workbook." type="100" refreshedVersion="8" minRefreshableVersion="5">
    <extLst>
      <ext xmlns:x15="http://schemas.microsoft.com/office/spreadsheetml/2010/11/main" uri="{DE250136-89BD-433C-8126-D09CA5730AF9}">
        <x15:connection id="d6e5f196-8644-4e8e-a87e-3861546de277"/>
      </ext>
    </extLst>
  </connection>
  <connection id="3" xr16:uid="{E82837A7-3C46-405D-ADCB-2565104D4AD8}" name="Query - Location_Data" description="Connection to the 'Location_Data' query in the workbook." type="100" refreshedVersion="8" minRefreshableVersion="5">
    <extLst>
      <ext xmlns:x15="http://schemas.microsoft.com/office/spreadsheetml/2010/11/main" uri="{DE250136-89BD-433C-8126-D09CA5730AF9}">
        <x15:connection id="68fb35a6-e244-485d-95c2-a059ada608dc"/>
      </ext>
    </extLst>
  </connection>
  <connection id="4" xr16:uid="{69AEC61F-3080-403D-B84B-8FB543B8AA29}"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5" xr16:uid="{231C4432-BE71-4333-AED1-625B21461A45}" name="Query - Product_Data" description="Connection to the 'Product_Data' query in the workbook." type="100" refreshedVersion="8" minRefreshableVersion="5">
    <extLst>
      <ext xmlns:x15="http://schemas.microsoft.com/office/spreadsheetml/2010/11/main" uri="{DE250136-89BD-433C-8126-D09CA5730AF9}">
        <x15:connection id="f6b01c78-b3e7-448d-8fae-e2ff46b3620d"/>
      </ext>
    </extLst>
  </connection>
  <connection id="6" xr16:uid="{7E73EA60-7BC5-4C1A-9E1D-FA5A48C12EB9}" name="Query - Salespeople_Data" description="Connection to the 'Salespeople_Data' query in the workbook." type="100" refreshedVersion="8" minRefreshableVersion="5">
    <extLst>
      <ext xmlns:x15="http://schemas.microsoft.com/office/spreadsheetml/2010/11/main" uri="{DE250136-89BD-433C-8126-D09CA5730AF9}">
        <x15:connection id="7298f7a7-120b-4f4e-875f-1e1f872a1bff"/>
      </ext>
    </extLst>
  </connection>
  <connection id="7" xr16:uid="{9BD69BF8-3086-44B1-881B-D209C979DB0A}"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8" xr16:uid="{3875D1B1-4737-45FF-BE97-A87C6556B067}"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9" xr16:uid="{FDA325F7-D808-48D4-AA0C-2067740A076E}"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0" xr16:uid="{F5EF6432-BDCA-4ED6-AC68-67176A62B4D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<sst xmlns="http://schemas.openxmlformats.org/spreadsheetml/2006/main" count="88" uniqueCount="41">
  <si>
    <t>Total customers</t>
  </si>
  <si>
    <t>Total product</t>
  </si>
  <si>
    <t>Total country</t>
  </si>
  <si>
    <t>All Transaction</t>
  </si>
  <si>
    <t>Revenue</t>
  </si>
  <si>
    <t>COGS</t>
  </si>
  <si>
    <t>Net Profit</t>
  </si>
  <si>
    <t>Quantity</t>
  </si>
  <si>
    <t>Feb</t>
  </si>
  <si>
    <t>Mar</t>
  </si>
  <si>
    <t>Jun</t>
  </si>
  <si>
    <t>Sep</t>
  </si>
  <si>
    <t>Nov</t>
  </si>
  <si>
    <t>Dec</t>
  </si>
  <si>
    <t>Net profit</t>
  </si>
  <si>
    <t>Purchase Date (Month)</t>
  </si>
  <si>
    <t>Format Million</t>
  </si>
  <si>
    <t>Format Thousands</t>
  </si>
  <si>
    <t>Display  Thousands</t>
  </si>
  <si>
    <t>Display  Million</t>
  </si>
  <si>
    <t>Row Labels</t>
  </si>
  <si>
    <t>2019</t>
  </si>
  <si>
    <t>2020</t>
  </si>
  <si>
    <t>2021</t>
  </si>
  <si>
    <t>Net Profit2</t>
  </si>
  <si>
    <t>Qtr1</t>
  </si>
  <si>
    <t>%</t>
  </si>
  <si>
    <t>Remaining</t>
  </si>
  <si>
    <t>○</t>
  </si>
  <si>
    <t>Qtr2</t>
  </si>
  <si>
    <t>Qtr3</t>
  </si>
  <si>
    <t>Qtr4</t>
  </si>
  <si>
    <t>Brandon Martin</t>
  </si>
  <si>
    <t>Daniel Barnes</t>
  </si>
  <si>
    <t>Howard Lewis</t>
  </si>
  <si>
    <t>James Simmons</t>
  </si>
  <si>
    <t>Johnny Andrews</t>
  </si>
  <si>
    <t>Ralph Olson</t>
  </si>
  <si>
    <t>total customer</t>
  </si>
  <si>
    <t>Customer Name</t>
  </si>
  <si>
    <t>caption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</si>
</sst>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800]dddd\,\ mmmm\ dd\,\ yyyy"/>
    <numFmt numFmtId="165" formatCode="\$#,##0;\(\$#,##0\);\$#,##0"/>
    <numFmt numFmtId="166" formatCode="&quot;$&quot;#,##0"/>
  </numFmts>
  <fonts count="5" x14ac:knownFonts="1">
    <font>
      <sz val="11"/>
      <color theme="1"/>
      <name val="Aptos Narrow"/>
      <family val="2"/>
      <scheme val="minor"/>
    </font>
    <font>
      <b/>
      <sz val="11"/>
      <color theme="3" tint="0.249977111117893"/>
      <name val="Aptos Narrow"/>
      <family val="2"/>
      <scheme val="minor"/>
    </font>
    <font>
      <b/>
      <sz val="11"/>
      <color theme="1" tint="4.9989318521683403E-2"/>
      <name val="Aptos Narrow"/>
      <family val="2"/>
      <scheme val="minor"/>
    </font>
    <font>
      <sz val="11"/>
      <color theme="1"/>
      <name val="Arial"/>
      <family val="2"/>
    </font>
    <font>
      <sz val="8"/>
      <color rgb="FF000000"/>
      <name val="Segoe UI"/>
      <family val="2"/>
    </font>
  </fonts>
  <fills count="5">
    <fill>
      <patternFill patternType="none"/>
    </fill>
    <fill>
      <patternFill patternType="gray125"/>
    </fill>
    <fill>
      <patternFill patternType="solid">
        <fgColor theme="0" tint="-4.9989318521683403E-2"/>
        <bgColor indexed="64"/>
      </patternFill>
    </fill>
    <fill>
      <patternFill patternType="solid">
        <fgColor rgb="FF21C587"/>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6">
    <xf numFmtId="0" fontId="0" fillId="0" borderId="0" xfId="0"/>
    <xf numFmtId="0" fontId="0" fillId="2" borderId="0" xfId="0" applyFill="1"/>
    <xf numFmtId="0" fontId="0" fillId="3" borderId="0" xfId="0" applyFill="1"/>
    <xf numFmtId="0" fontId="0" fillId="4" borderId="0" xfId="0" applyFill="1"/>
    <xf numFmtId="164" fontId="0" fillId="0" borderId="0" xfId="0" applyNumberFormat="1"/>
    <xf numFmtId="0" fontId="0" fillId="0" borderId="0" xfId="0" applyAlignment="1">
      <alignment horizontal="center" vertical="center"/>
    </xf>
    <xf numFmtId="3" fontId="0" fillId="0" borderId="0" xfId="0" applyNumberFormat="1" applyAlignment="1">
      <alignment horizontal="center" vertical="center"/>
    </xf>
    <xf numFmtId="0" fontId="0" fillId="0" borderId="0" xfId="0" pivotButton="1" applyAlignment="1">
      <alignment horizontal="center" vertical="center"/>
    </xf>
    <xf numFmtId="165" fontId="0" fillId="0" borderId="0" xfId="0" applyNumberFormat="1" applyAlignment="1">
      <alignment horizontal="center" vertical="center"/>
    </xf>
    <xf numFmtId="0" fontId="1" fillId="0" borderId="0" xfId="0" applyFont="1"/>
    <xf numFmtId="0" fontId="2" fillId="0" borderId="0" xfId="0" applyFont="1"/>
    <xf numFmtId="166" fontId="0" fillId="0" borderId="0" xfId="0" applyNumberFormat="1"/>
    <xf numFmtId="10" fontId="0" fillId="0" borderId="0" xfId="0" applyNumberFormat="1"/>
    <xf numFmtId="10" fontId="0" fillId="0" borderId="0" xfId="0" applyNumberFormat="1" applyAlignment="1">
      <alignment horizontal="center" vertical="center"/>
    </xf>
    <xf numFmtId="0" fontId="3" fillId="0" borderId="0" xfId="0" applyFont="1"/>
    <xf numFmtId="9" fontId="0" fillId="0" borderId="0" xfId="0" applyNumberFormat="1" applyAlignment="1">
      <alignment horizontal="center" vertical="center"/>
    </xf>
  </cellXfs>
  <cellStyles count="1">
    <cellStyle name="Normal" xfId="0" builtinId="0"/>
  </cellStyles>
  <dxfs count="76">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numFmt numFmtId="14" formatCode="0.00%"/>
    </dxf>
    <dxf>
      <alignment vertical="center"/>
    </dxf>
    <dxf>
      <alignment vertical="center"/>
    </dxf>
    <dxf>
      <alignment vertical="center"/>
    </dxf>
    <dxf>
      <alignment horizontal="center"/>
    </dxf>
    <dxf>
      <alignment horizontal="center"/>
    </dxf>
    <dxf>
      <alignment horizontal="center"/>
    </dxf>
    <dxf>
      <numFmt numFmtId="3" formatCode="#,##0"/>
    </dxf>
    <dxf>
      <alignment vertical="center"/>
    </dxf>
    <dxf>
      <alignment vertical="center"/>
    </dxf>
    <dxf>
      <alignment vertical="center"/>
    </dxf>
    <dxf>
      <alignment horizontal="center"/>
    </dxf>
    <dxf>
      <alignment horizontal="center"/>
    </dxf>
    <dxf>
      <alignment horizontal="center"/>
    </dxf>
    <dxf>
      <numFmt numFmtId="3" formatCode="#,##0"/>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fill>
        <patternFill>
          <bgColor theme="0"/>
        </patternFill>
      </fill>
    </dxf>
  </dxfs>
  <tableStyles count="1" defaultTableStyle="TableStyleMedium2" defaultPivotStyle="PivotStyleLight16">
    <tableStyle name="Slicer Style 1" pivot="0" table="0" count="3" xr9:uid="{71AB9170-A6B4-4D5F-AC34-F6B0B8F3C9FA}">
      <tableStyleElement type="wholeTable" dxfId="75"/>
    </tableStyle>
  </tableStyles>
  <colors>
    <mruColors>
      <color rgb="FFC30D52"/>
      <color rgb="FF21C587"/>
    </mruColors>
  </colors>
  <extLst>
    <ext xmlns:x14="http://schemas.microsoft.com/office/spreadsheetml/2009/9/main" uri="{46F421CA-312F-682f-3DD2-61675219B42D}">
      <x14:dxfs count="2">
        <dxf>
          <fill>
            <patternFill>
              <bgColor theme="5"/>
            </patternFill>
          </fill>
        </dxf>
        <dxf>
          <font>
            <b/>
            <i/>
            <sz val="10"/>
            <color theme="0"/>
          </font>
          <fill>
            <patternFill>
              <bgColor rgb="FF7030A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alcChain" Target="calcChain.xml"/><Relationship Id="rId21" Type="http://schemas.openxmlformats.org/officeDocument/2006/relationships/theme" Target="theme/theme1.xml"/><Relationship Id="rId42" Type="http://schemas.openxmlformats.org/officeDocument/2006/relationships/customXml" Target="../customXml/item16.xml"/><Relationship Id="rId47" Type="http://schemas.openxmlformats.org/officeDocument/2006/relationships/customXml" Target="../customXml/item21.xml"/><Relationship Id="rId63" Type="http://schemas.openxmlformats.org/officeDocument/2006/relationships/customXml" Target="../customXml/item37.xml"/><Relationship Id="rId68" Type="http://schemas.openxmlformats.org/officeDocument/2006/relationships/customXml" Target="../customXml/item42.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3.xml"/><Relationship Id="rId11" Type="http://schemas.openxmlformats.org/officeDocument/2006/relationships/pivotCacheDefinition" Target="pivotCache/pivotCacheDefinition7.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8" Type="http://schemas.openxmlformats.org/officeDocument/2006/relationships/customXml" Target="../customXml/item32.xml"/><Relationship Id="rId66" Type="http://schemas.openxmlformats.org/officeDocument/2006/relationships/customXml" Target="../customXml/item40.xml"/><Relationship Id="rId5" Type="http://schemas.openxmlformats.org/officeDocument/2006/relationships/pivotCacheDefinition" Target="pivotCache/pivotCacheDefinition1.xml"/><Relationship Id="rId61" Type="http://schemas.openxmlformats.org/officeDocument/2006/relationships/customXml" Target="../customXml/item35.xml"/><Relationship Id="rId19" Type="http://schemas.microsoft.com/office/2007/relationships/slicerCache" Target="slicerCaches/slicerCache2.xml"/><Relationship Id="rId14" Type="http://schemas.openxmlformats.org/officeDocument/2006/relationships/pivotCacheDefinition" Target="pivotCache/pivotCacheDefinition10.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64" Type="http://schemas.openxmlformats.org/officeDocument/2006/relationships/customXml" Target="../customXml/item38.xml"/><Relationship Id="rId69" Type="http://schemas.microsoft.com/office/2006/relationships/vbaProject" Target="vbaProject.bin"/><Relationship Id="rId8" Type="http://schemas.openxmlformats.org/officeDocument/2006/relationships/pivotCacheDefinition" Target="pivotCache/pivotCacheDefinition4.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59" Type="http://schemas.openxmlformats.org/officeDocument/2006/relationships/customXml" Target="../customXml/item33.xml"/><Relationship Id="rId67" Type="http://schemas.openxmlformats.org/officeDocument/2006/relationships/customXml" Target="../customXml/item41.xml"/><Relationship Id="rId20" Type="http://schemas.microsoft.com/office/2007/relationships/slicerCache" Target="slicerCaches/slicerCache3.xml"/><Relationship Id="rId41" Type="http://schemas.openxmlformats.org/officeDocument/2006/relationships/customXml" Target="../customXml/item15.xml"/><Relationship Id="rId54" Type="http://schemas.openxmlformats.org/officeDocument/2006/relationships/customXml" Target="../customXml/item28.xml"/><Relationship Id="rId62"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openxmlformats.org/officeDocument/2006/relationships/customXml" Target="../customXml/item31.xml"/><Relationship Id="rId10" Type="http://schemas.openxmlformats.org/officeDocument/2006/relationships/pivotCacheDefinition" Target="pivotCache/pivotCacheDefinition6.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60" Type="http://schemas.openxmlformats.org/officeDocument/2006/relationships/customXml" Target="../customXml/item34.xml"/><Relationship Id="rId65" Type="http://schemas.openxmlformats.org/officeDocument/2006/relationships/customXml" Target="../customXml/item39.xml"/><Relationship Id="rId4" Type="http://schemas.openxmlformats.org/officeDocument/2006/relationships/externalLink" Target="externalLinks/externalLink1.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microsoft.com/office/2007/relationships/slicerCache" Target="slicerCaches/slicerCache1.xml"/><Relationship Id="rId39" Type="http://schemas.openxmlformats.org/officeDocument/2006/relationships/customXml" Target="../customXml/item13.xml"/><Relationship Id="rId34" Type="http://schemas.openxmlformats.org/officeDocument/2006/relationships/customXml" Target="../customXml/item8.xml"/><Relationship Id="rId50" Type="http://schemas.openxmlformats.org/officeDocument/2006/relationships/customXml" Target="../customXml/item24.xml"/><Relationship Id="rId55"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for sales.xlsm]Sheet1!PivotTable5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1C587">
              <a:alpha val="25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Sheet1!$H$5</c:f>
              <c:strCache>
                <c:ptCount val="1"/>
                <c:pt idx="0">
                  <c:v>Total</c:v>
                </c:pt>
              </c:strCache>
            </c:strRef>
          </c:tx>
          <c:spPr>
            <a:solidFill>
              <a:srgbClr val="21C587">
                <a:alpha val="25000"/>
              </a:srgbClr>
            </a:solidFill>
            <a:ln>
              <a:noFill/>
            </a:ln>
            <a:effectLst/>
          </c:spPr>
          <c:invertIfNegative val="0"/>
          <c:cat>
            <c:strRef>
              <c:f>Sheet1!$G$6:$G$11</c:f>
              <c:strCache>
                <c:ptCount val="6"/>
                <c:pt idx="0">
                  <c:v>Feb</c:v>
                </c:pt>
                <c:pt idx="1">
                  <c:v>Mar</c:v>
                </c:pt>
                <c:pt idx="2">
                  <c:v>Jun</c:v>
                </c:pt>
                <c:pt idx="3">
                  <c:v>Sep</c:v>
                </c:pt>
                <c:pt idx="4">
                  <c:v>Nov</c:v>
                </c:pt>
                <c:pt idx="5">
                  <c:v>Dec</c:v>
                </c:pt>
              </c:strCache>
            </c:strRef>
          </c:cat>
          <c:val>
            <c:numRef>
              <c:f>Sheet1!$H$6:$H$11</c:f>
              <c:numCache>
                <c:formatCode>#,##0</c:formatCode>
                <c:ptCount val="6"/>
                <c:pt idx="0">
                  <c:v>3</c:v>
                </c:pt>
                <c:pt idx="1">
                  <c:v>3</c:v>
                </c:pt>
                <c:pt idx="2">
                  <c:v>1</c:v>
                </c:pt>
                <c:pt idx="3">
                  <c:v>1</c:v>
                </c:pt>
                <c:pt idx="4">
                  <c:v>3</c:v>
                </c:pt>
                <c:pt idx="5">
                  <c:v>2</c:v>
                </c:pt>
              </c:numCache>
            </c:numRef>
          </c:val>
          <c:extLst>
            <c:ext xmlns:c16="http://schemas.microsoft.com/office/drawing/2014/chart" uri="{C3380CC4-5D6E-409C-BE32-E72D297353CC}">
              <c16:uniqueId val="{00000000-B984-4B29-B895-50E782ADC6C4}"/>
            </c:ext>
          </c:extLst>
        </c:ser>
        <c:dLbls>
          <c:showLegendKey val="0"/>
          <c:showVal val="0"/>
          <c:showCatName val="0"/>
          <c:showSerName val="0"/>
          <c:showPercent val="0"/>
          <c:showBubbleSize val="0"/>
        </c:dLbls>
        <c:gapWidth val="35"/>
        <c:overlap val="-27"/>
        <c:axId val="186770560"/>
        <c:axId val="186772480"/>
      </c:barChart>
      <c:catAx>
        <c:axId val="186770560"/>
        <c:scaling>
          <c:orientation val="minMax"/>
        </c:scaling>
        <c:delete val="1"/>
        <c:axPos val="b"/>
        <c:numFmt formatCode="General" sourceLinked="1"/>
        <c:majorTickMark val="none"/>
        <c:minorTickMark val="none"/>
        <c:tickLblPos val="nextTo"/>
        <c:crossAx val="186772480"/>
        <c:crosses val="autoZero"/>
        <c:auto val="1"/>
        <c:lblAlgn val="ctr"/>
        <c:lblOffset val="100"/>
        <c:noMultiLvlLbl val="0"/>
      </c:catAx>
      <c:valAx>
        <c:axId val="186772480"/>
        <c:scaling>
          <c:orientation val="minMax"/>
        </c:scaling>
        <c:delete val="1"/>
        <c:axPos val="l"/>
        <c:numFmt formatCode="#,##0" sourceLinked="1"/>
        <c:majorTickMark val="none"/>
        <c:minorTickMark val="none"/>
        <c:tickLblPos val="nextTo"/>
        <c:crossAx val="186770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for sales.xlsm]Sheet1!PivotTable9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alpha val="25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728698023176557E-2"/>
          <c:y val="0.35236081747709652"/>
          <c:w val="0.81254260395364686"/>
          <c:h val="0.45384073291050037"/>
        </c:manualLayout>
      </c:layout>
      <c:barChart>
        <c:barDir val="col"/>
        <c:grouping val="clustered"/>
        <c:varyColors val="0"/>
        <c:ser>
          <c:idx val="0"/>
          <c:order val="0"/>
          <c:tx>
            <c:strRef>
              <c:f>Sheet1!$Q$5</c:f>
              <c:strCache>
                <c:ptCount val="1"/>
                <c:pt idx="0">
                  <c:v>Total</c:v>
                </c:pt>
              </c:strCache>
            </c:strRef>
          </c:tx>
          <c:spPr>
            <a:solidFill>
              <a:srgbClr val="7030A0">
                <a:alpha val="25000"/>
              </a:srgbClr>
            </a:solidFill>
            <a:ln>
              <a:noFill/>
            </a:ln>
            <a:effectLst/>
          </c:spPr>
          <c:invertIfNegative val="0"/>
          <c:cat>
            <c:strRef>
              <c:f>Sheet1!$P$6:$P$11</c:f>
              <c:strCache>
                <c:ptCount val="6"/>
                <c:pt idx="0">
                  <c:v>Feb</c:v>
                </c:pt>
                <c:pt idx="1">
                  <c:v>Mar</c:v>
                </c:pt>
                <c:pt idx="2">
                  <c:v>Jun</c:v>
                </c:pt>
                <c:pt idx="3">
                  <c:v>Sep</c:v>
                </c:pt>
                <c:pt idx="4">
                  <c:v>Nov</c:v>
                </c:pt>
                <c:pt idx="5">
                  <c:v>Dec</c:v>
                </c:pt>
              </c:strCache>
            </c:strRef>
          </c:cat>
          <c:val>
            <c:numRef>
              <c:f>Sheet1!$Q$6:$Q$11</c:f>
              <c:numCache>
                <c:formatCode>\$#,##0;\(\$#,##0\);\$#,##0</c:formatCode>
                <c:ptCount val="6"/>
                <c:pt idx="0">
                  <c:v>1521</c:v>
                </c:pt>
                <c:pt idx="1">
                  <c:v>1521</c:v>
                </c:pt>
                <c:pt idx="2">
                  <c:v>507</c:v>
                </c:pt>
                <c:pt idx="3">
                  <c:v>507</c:v>
                </c:pt>
                <c:pt idx="4">
                  <c:v>1521</c:v>
                </c:pt>
                <c:pt idx="5">
                  <c:v>1014</c:v>
                </c:pt>
              </c:numCache>
            </c:numRef>
          </c:val>
          <c:extLst>
            <c:ext xmlns:c16="http://schemas.microsoft.com/office/drawing/2014/chart" uri="{C3380CC4-5D6E-409C-BE32-E72D297353CC}">
              <c16:uniqueId val="{00000000-9B63-4F6E-A940-816954752071}"/>
            </c:ext>
          </c:extLst>
        </c:ser>
        <c:dLbls>
          <c:showLegendKey val="0"/>
          <c:showVal val="0"/>
          <c:showCatName val="0"/>
          <c:showSerName val="0"/>
          <c:showPercent val="0"/>
          <c:showBubbleSize val="0"/>
        </c:dLbls>
        <c:gapWidth val="35"/>
        <c:overlap val="-27"/>
        <c:axId val="269675504"/>
        <c:axId val="269675984"/>
      </c:barChart>
      <c:catAx>
        <c:axId val="269675504"/>
        <c:scaling>
          <c:orientation val="minMax"/>
        </c:scaling>
        <c:delete val="1"/>
        <c:axPos val="b"/>
        <c:numFmt formatCode="General" sourceLinked="1"/>
        <c:majorTickMark val="none"/>
        <c:minorTickMark val="none"/>
        <c:tickLblPos val="nextTo"/>
        <c:crossAx val="269675984"/>
        <c:crosses val="autoZero"/>
        <c:auto val="1"/>
        <c:lblAlgn val="ctr"/>
        <c:lblOffset val="100"/>
        <c:noMultiLvlLbl val="0"/>
      </c:catAx>
      <c:valAx>
        <c:axId val="269675984"/>
        <c:scaling>
          <c:orientation val="minMax"/>
        </c:scaling>
        <c:delete val="1"/>
        <c:axPos val="l"/>
        <c:numFmt formatCode="\$#,##0;\(\$#,##0\);\$#,##0" sourceLinked="1"/>
        <c:majorTickMark val="none"/>
        <c:minorTickMark val="none"/>
        <c:tickLblPos val="nextTo"/>
        <c:crossAx val="26967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for sales.xlsm]Sheet1!PivotTable7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30D52">
              <a:alpha val="25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Sheet1!$N$5</c:f>
              <c:strCache>
                <c:ptCount val="1"/>
                <c:pt idx="0">
                  <c:v>Total</c:v>
                </c:pt>
              </c:strCache>
            </c:strRef>
          </c:tx>
          <c:spPr>
            <a:solidFill>
              <a:srgbClr val="C30D52">
                <a:alpha val="25000"/>
              </a:srgbClr>
            </a:solidFill>
            <a:ln>
              <a:noFill/>
            </a:ln>
            <a:effectLst/>
          </c:spPr>
          <c:invertIfNegative val="0"/>
          <c:cat>
            <c:strRef>
              <c:f>Sheet1!$M$6:$M$11</c:f>
              <c:strCache>
                <c:ptCount val="6"/>
                <c:pt idx="0">
                  <c:v>Feb</c:v>
                </c:pt>
                <c:pt idx="1">
                  <c:v>Mar</c:v>
                </c:pt>
                <c:pt idx="2">
                  <c:v>Jun</c:v>
                </c:pt>
                <c:pt idx="3">
                  <c:v>Sep</c:v>
                </c:pt>
                <c:pt idx="4">
                  <c:v>Nov</c:v>
                </c:pt>
                <c:pt idx="5">
                  <c:v>Dec</c:v>
                </c:pt>
              </c:strCache>
            </c:strRef>
          </c:cat>
          <c:val>
            <c:numRef>
              <c:f>Sheet1!$N$6:$N$11</c:f>
              <c:numCache>
                <c:formatCode>\$#,##0;\(\$#,##0\);\$#,##0</c:formatCode>
                <c:ptCount val="6"/>
                <c:pt idx="0">
                  <c:v>3915</c:v>
                </c:pt>
                <c:pt idx="1">
                  <c:v>3915</c:v>
                </c:pt>
                <c:pt idx="2">
                  <c:v>1305</c:v>
                </c:pt>
                <c:pt idx="3">
                  <c:v>1305</c:v>
                </c:pt>
                <c:pt idx="4">
                  <c:v>3915</c:v>
                </c:pt>
                <c:pt idx="5">
                  <c:v>2610</c:v>
                </c:pt>
              </c:numCache>
            </c:numRef>
          </c:val>
          <c:extLst>
            <c:ext xmlns:c16="http://schemas.microsoft.com/office/drawing/2014/chart" uri="{C3380CC4-5D6E-409C-BE32-E72D297353CC}">
              <c16:uniqueId val="{00000000-A766-4EE7-AF18-83C64F68E0DC}"/>
            </c:ext>
          </c:extLst>
        </c:ser>
        <c:dLbls>
          <c:showLegendKey val="0"/>
          <c:showVal val="0"/>
          <c:showCatName val="0"/>
          <c:showSerName val="0"/>
          <c:showPercent val="0"/>
          <c:showBubbleSize val="0"/>
        </c:dLbls>
        <c:gapWidth val="35"/>
        <c:overlap val="-27"/>
        <c:axId val="190470272"/>
        <c:axId val="190472192"/>
      </c:barChart>
      <c:catAx>
        <c:axId val="190470272"/>
        <c:scaling>
          <c:orientation val="minMax"/>
        </c:scaling>
        <c:delete val="1"/>
        <c:axPos val="b"/>
        <c:numFmt formatCode="General" sourceLinked="1"/>
        <c:majorTickMark val="none"/>
        <c:minorTickMark val="none"/>
        <c:tickLblPos val="nextTo"/>
        <c:crossAx val="190472192"/>
        <c:crosses val="autoZero"/>
        <c:auto val="1"/>
        <c:lblAlgn val="ctr"/>
        <c:lblOffset val="100"/>
        <c:noMultiLvlLbl val="0"/>
      </c:catAx>
      <c:valAx>
        <c:axId val="190472192"/>
        <c:scaling>
          <c:orientation val="minMax"/>
        </c:scaling>
        <c:delete val="1"/>
        <c:axPos val="l"/>
        <c:numFmt formatCode="\$#,##0;\(\$#,##0\);\$#,##0" sourceLinked="1"/>
        <c:majorTickMark val="none"/>
        <c:minorTickMark val="none"/>
        <c:tickLblPos val="nextTo"/>
        <c:crossAx val="190470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for sales.xlsm]Sheet1!PivotTable6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Sheet1!$K$5</c:f>
              <c:strCache>
                <c:ptCount val="1"/>
                <c:pt idx="0">
                  <c:v>Total</c:v>
                </c:pt>
              </c:strCache>
            </c:strRef>
          </c:tx>
          <c:spPr>
            <a:solidFill>
              <a:schemeClr val="accent2">
                <a:alpha val="30000"/>
              </a:schemeClr>
            </a:solidFill>
            <a:ln>
              <a:noFill/>
            </a:ln>
            <a:effectLst/>
          </c:spPr>
          <c:invertIfNegative val="0"/>
          <c:cat>
            <c:strRef>
              <c:f>Sheet1!$J$6:$J$11</c:f>
              <c:strCache>
                <c:ptCount val="6"/>
                <c:pt idx="0">
                  <c:v>Feb</c:v>
                </c:pt>
                <c:pt idx="1">
                  <c:v>Mar</c:v>
                </c:pt>
                <c:pt idx="2">
                  <c:v>Jun</c:v>
                </c:pt>
                <c:pt idx="3">
                  <c:v>Sep</c:v>
                </c:pt>
                <c:pt idx="4">
                  <c:v>Nov</c:v>
                </c:pt>
                <c:pt idx="5">
                  <c:v>Dec</c:v>
                </c:pt>
              </c:strCache>
            </c:strRef>
          </c:cat>
          <c:val>
            <c:numRef>
              <c:f>Sheet1!$K$6:$K$11</c:f>
              <c:numCache>
                <c:formatCode>\$#,##0;\(\$#,##0\);\$#,##0</c:formatCode>
                <c:ptCount val="6"/>
                <c:pt idx="0">
                  <c:v>5436</c:v>
                </c:pt>
                <c:pt idx="1">
                  <c:v>5436</c:v>
                </c:pt>
                <c:pt idx="2">
                  <c:v>1812</c:v>
                </c:pt>
                <c:pt idx="3">
                  <c:v>1812</c:v>
                </c:pt>
                <c:pt idx="4">
                  <c:v>5436</c:v>
                </c:pt>
                <c:pt idx="5">
                  <c:v>3624</c:v>
                </c:pt>
              </c:numCache>
            </c:numRef>
          </c:val>
          <c:extLst>
            <c:ext xmlns:c16="http://schemas.microsoft.com/office/drawing/2014/chart" uri="{C3380CC4-5D6E-409C-BE32-E72D297353CC}">
              <c16:uniqueId val="{00000000-E1C3-4B3B-AF12-1A408F77B4D2}"/>
            </c:ext>
          </c:extLst>
        </c:ser>
        <c:dLbls>
          <c:showLegendKey val="0"/>
          <c:showVal val="0"/>
          <c:showCatName val="0"/>
          <c:showSerName val="0"/>
          <c:showPercent val="0"/>
          <c:showBubbleSize val="0"/>
        </c:dLbls>
        <c:gapWidth val="35"/>
        <c:overlap val="-27"/>
        <c:axId val="197146272"/>
        <c:axId val="197147232"/>
      </c:barChart>
      <c:catAx>
        <c:axId val="197146272"/>
        <c:scaling>
          <c:orientation val="minMax"/>
        </c:scaling>
        <c:delete val="1"/>
        <c:axPos val="b"/>
        <c:numFmt formatCode="General" sourceLinked="1"/>
        <c:majorTickMark val="none"/>
        <c:minorTickMark val="none"/>
        <c:tickLblPos val="nextTo"/>
        <c:crossAx val="197147232"/>
        <c:crosses val="autoZero"/>
        <c:auto val="1"/>
        <c:lblAlgn val="ctr"/>
        <c:lblOffset val="100"/>
        <c:noMultiLvlLbl val="0"/>
      </c:catAx>
      <c:valAx>
        <c:axId val="197147232"/>
        <c:scaling>
          <c:orientation val="minMax"/>
        </c:scaling>
        <c:delete val="1"/>
        <c:axPos val="l"/>
        <c:numFmt formatCode="\$#,##0;\(\$#,##0\);\$#,##0" sourceLinked="1"/>
        <c:majorTickMark val="none"/>
        <c:minorTickMark val="none"/>
        <c:tickLblPos val="nextTo"/>
        <c:crossAx val="197146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1C587"/>
              </a:solidFill>
              <a:ln w="19050">
                <a:solidFill>
                  <a:schemeClr val="lt1"/>
                </a:solidFill>
              </a:ln>
              <a:effectLst/>
            </c:spPr>
            <c:extLst>
              <c:ext xmlns:c16="http://schemas.microsoft.com/office/drawing/2014/chart" uri="{C3380CC4-5D6E-409C-BE32-E72D297353CC}">
                <c16:uniqueId val="{00000001-4C27-465A-92E1-E31EB7349F89}"/>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4C27-465A-92E1-E31EB7349F89}"/>
              </c:ext>
            </c:extLst>
          </c:dPt>
          <c:val>
            <c:numRef>
              <c:f>Analysis!$G$9:$H$9</c:f>
              <c:numCache>
                <c:formatCode>0%</c:formatCode>
                <c:ptCount val="2"/>
                <c:pt idx="0" formatCode="0.00%">
                  <c:v>0.23076923076923078</c:v>
                </c:pt>
                <c:pt idx="1">
                  <c:v>0.76923076923076916</c:v>
                </c:pt>
              </c:numCache>
            </c:numRef>
          </c:val>
          <c:extLst>
            <c:ext xmlns:c16="http://schemas.microsoft.com/office/drawing/2014/chart" uri="{C3380CC4-5D6E-409C-BE32-E72D297353CC}">
              <c16:uniqueId val="{00000004-4C27-465A-92E1-E31EB7349F89}"/>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1C587"/>
              </a:solidFill>
              <a:ln w="19050">
                <a:solidFill>
                  <a:schemeClr val="lt1"/>
                </a:solidFill>
              </a:ln>
              <a:effectLst/>
            </c:spPr>
            <c:extLst>
              <c:ext xmlns:c16="http://schemas.microsoft.com/office/drawing/2014/chart" uri="{C3380CC4-5D6E-409C-BE32-E72D297353CC}">
                <c16:uniqueId val="{00000001-E2D1-4BF3-BEBD-FCD836C2EC0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E2D1-4BF3-BEBD-FCD836C2EC00}"/>
              </c:ext>
            </c:extLst>
          </c:dPt>
          <c:val>
            <c:numRef>
              <c:f>Analysis!$G$10:$H$10</c:f>
              <c:numCache>
                <c:formatCode>0%</c:formatCode>
                <c:ptCount val="2"/>
                <c:pt idx="0" formatCode="0.00%">
                  <c:v>0.46153846153846156</c:v>
                </c:pt>
                <c:pt idx="1">
                  <c:v>0.53846153846153844</c:v>
                </c:pt>
              </c:numCache>
            </c:numRef>
          </c:val>
          <c:extLst>
            <c:ext xmlns:c16="http://schemas.microsoft.com/office/drawing/2014/chart" uri="{C3380CC4-5D6E-409C-BE32-E72D297353CC}">
              <c16:uniqueId val="{00000004-E2D1-4BF3-BEBD-FCD836C2EC00}"/>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1C587"/>
              </a:solidFill>
              <a:ln w="19050">
                <a:solidFill>
                  <a:schemeClr val="lt1"/>
                </a:solidFill>
              </a:ln>
              <a:effectLst/>
            </c:spPr>
            <c:extLst>
              <c:ext xmlns:c16="http://schemas.microsoft.com/office/drawing/2014/chart" uri="{C3380CC4-5D6E-409C-BE32-E72D297353CC}">
                <c16:uniqueId val="{00000001-202F-4171-9DB2-2C321F3A39EF}"/>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02F-4171-9DB2-2C321F3A39EF}"/>
              </c:ext>
            </c:extLst>
          </c:dPt>
          <c:val>
            <c:numRef>
              <c:f>Analysis!$G$11:$H$11</c:f>
              <c:numCache>
                <c:formatCode>0%</c:formatCode>
                <c:ptCount val="2"/>
                <c:pt idx="0" formatCode="0.00%">
                  <c:v>0.30769230769230771</c:v>
                </c:pt>
                <c:pt idx="1">
                  <c:v>0.69230769230769229</c:v>
                </c:pt>
              </c:numCache>
            </c:numRef>
          </c:val>
          <c:extLst>
            <c:ext xmlns:c16="http://schemas.microsoft.com/office/drawing/2014/chart" uri="{C3380CC4-5D6E-409C-BE32-E72D297353CC}">
              <c16:uniqueId val="{00000004-202F-4171-9DB2-2C321F3A39EF}"/>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for sales.xlsm]Analysis!PivotTable15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46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Analysis!$E$16</c:f>
              <c:strCache>
                <c:ptCount val="1"/>
                <c:pt idx="0">
                  <c:v>Total</c:v>
                </c:pt>
              </c:strCache>
            </c:strRef>
          </c:tx>
          <c:spPr>
            <a:solidFill>
              <a:schemeClr val="accent2">
                <a:alpha val="46000"/>
              </a:schemeClr>
            </a:solidFill>
            <a:ln>
              <a:noFill/>
            </a:ln>
            <a:effectLst/>
          </c:spPr>
          <c:invertIfNegative val="0"/>
          <c:cat>
            <c:strRef>
              <c:f>Analysis!$D$17:$D$22</c:f>
              <c:strCache>
                <c:ptCount val="6"/>
                <c:pt idx="0">
                  <c:v>Feb</c:v>
                </c:pt>
                <c:pt idx="1">
                  <c:v>Mar</c:v>
                </c:pt>
                <c:pt idx="2">
                  <c:v>Jun</c:v>
                </c:pt>
                <c:pt idx="3">
                  <c:v>Sep</c:v>
                </c:pt>
                <c:pt idx="4">
                  <c:v>Nov</c:v>
                </c:pt>
                <c:pt idx="5">
                  <c:v>Dec</c:v>
                </c:pt>
              </c:strCache>
            </c:strRef>
          </c:cat>
          <c:val>
            <c:numRef>
              <c:f>Analysis!$E$17:$E$22</c:f>
              <c:numCache>
                <c:formatCode>\$#,##0;\(\$#,##0\);\$#,##0</c:formatCode>
                <c:ptCount val="6"/>
                <c:pt idx="0">
                  <c:v>1521</c:v>
                </c:pt>
                <c:pt idx="1">
                  <c:v>1521</c:v>
                </c:pt>
                <c:pt idx="2">
                  <c:v>507</c:v>
                </c:pt>
                <c:pt idx="3">
                  <c:v>507</c:v>
                </c:pt>
                <c:pt idx="4">
                  <c:v>1521</c:v>
                </c:pt>
                <c:pt idx="5">
                  <c:v>1014</c:v>
                </c:pt>
              </c:numCache>
            </c:numRef>
          </c:val>
          <c:extLst>
            <c:ext xmlns:c16="http://schemas.microsoft.com/office/drawing/2014/chart" uri="{C3380CC4-5D6E-409C-BE32-E72D297353CC}">
              <c16:uniqueId val="{00000000-D805-4837-8E8A-00D2D676779F}"/>
            </c:ext>
          </c:extLst>
        </c:ser>
        <c:dLbls>
          <c:showLegendKey val="0"/>
          <c:showVal val="0"/>
          <c:showCatName val="0"/>
          <c:showSerName val="0"/>
          <c:showPercent val="0"/>
          <c:showBubbleSize val="0"/>
        </c:dLbls>
        <c:gapWidth val="114"/>
        <c:overlap val="-27"/>
        <c:axId val="212889488"/>
        <c:axId val="212889008"/>
      </c:barChart>
      <c:catAx>
        <c:axId val="212889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89008"/>
        <c:crosses val="autoZero"/>
        <c:auto val="1"/>
        <c:lblAlgn val="ctr"/>
        <c:lblOffset val="100"/>
        <c:noMultiLvlLbl val="0"/>
      </c:catAx>
      <c:valAx>
        <c:axId val="212889008"/>
        <c:scaling>
          <c:orientation val="minMax"/>
        </c:scaling>
        <c:delete val="1"/>
        <c:axPos val="l"/>
        <c:numFmt formatCode="\$#,##0;\(\$#,##0\);\$#,##0" sourceLinked="1"/>
        <c:majorTickMark val="out"/>
        <c:minorTickMark val="none"/>
        <c:tickLblPos val="nextTo"/>
        <c:crossAx val="2128894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for sales.xlsm]Analysis!PivotTable17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8271453746581E-2"/>
          <c:y val="0"/>
          <c:w val="0.89003457092506844"/>
          <c:h val="0.75233080497945615"/>
        </c:manualLayout>
      </c:layout>
      <c:areaChart>
        <c:grouping val="standard"/>
        <c:varyColors val="0"/>
        <c:ser>
          <c:idx val="0"/>
          <c:order val="0"/>
          <c:tx>
            <c:strRef>
              <c:f>Analysis!$H$16</c:f>
              <c:strCache>
                <c:ptCount val="1"/>
                <c:pt idx="0">
                  <c:v>Total</c:v>
                </c:pt>
              </c:strCache>
            </c:strRef>
          </c:tx>
          <c:spPr>
            <a:solidFill>
              <a:srgbClr val="7030A0"/>
            </a:solidFill>
            <a:ln>
              <a:noFill/>
            </a:ln>
            <a:effectLst/>
          </c:spPr>
          <c:cat>
            <c:strRef>
              <c:f>Analysis!$G$17:$G$20</c:f>
              <c:strCache>
                <c:ptCount val="4"/>
                <c:pt idx="0">
                  <c:v>Qtr1</c:v>
                </c:pt>
                <c:pt idx="1">
                  <c:v>Qtr2</c:v>
                </c:pt>
                <c:pt idx="2">
                  <c:v>Qtr3</c:v>
                </c:pt>
                <c:pt idx="3">
                  <c:v>Qtr4</c:v>
                </c:pt>
              </c:strCache>
            </c:strRef>
          </c:cat>
          <c:val>
            <c:numRef>
              <c:f>Analysis!$H$17:$H$20</c:f>
              <c:numCache>
                <c:formatCode>\$#,##0;\(\$#,##0\);\$#,##0</c:formatCode>
                <c:ptCount val="4"/>
                <c:pt idx="0">
                  <c:v>3042</c:v>
                </c:pt>
                <c:pt idx="1">
                  <c:v>507</c:v>
                </c:pt>
                <c:pt idx="2">
                  <c:v>507</c:v>
                </c:pt>
                <c:pt idx="3">
                  <c:v>2535</c:v>
                </c:pt>
              </c:numCache>
            </c:numRef>
          </c:val>
          <c:extLst>
            <c:ext xmlns:c16="http://schemas.microsoft.com/office/drawing/2014/chart" uri="{C3380CC4-5D6E-409C-BE32-E72D297353CC}">
              <c16:uniqueId val="{00000000-DB7F-4441-BCF7-988348622B46}"/>
            </c:ext>
          </c:extLst>
        </c:ser>
        <c:dLbls>
          <c:showLegendKey val="0"/>
          <c:showVal val="0"/>
          <c:showCatName val="0"/>
          <c:showSerName val="0"/>
          <c:showPercent val="0"/>
          <c:showBubbleSize val="0"/>
        </c:dLbls>
        <c:axId val="186010352"/>
        <c:axId val="186014672"/>
      </c:areaChart>
      <c:catAx>
        <c:axId val="186010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14672"/>
        <c:crosses val="autoZero"/>
        <c:auto val="1"/>
        <c:lblAlgn val="ctr"/>
        <c:lblOffset val="100"/>
        <c:noMultiLvlLbl val="0"/>
      </c:catAx>
      <c:valAx>
        <c:axId val="186014672"/>
        <c:scaling>
          <c:orientation val="minMax"/>
        </c:scaling>
        <c:delete val="1"/>
        <c:axPos val="l"/>
        <c:numFmt formatCode="\$#,##0;\(\$#,##0\);\$#,##0" sourceLinked="1"/>
        <c:majorTickMark val="none"/>
        <c:minorTickMark val="none"/>
        <c:tickLblPos val="nextTo"/>
        <c:crossAx val="18601035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Analysis!$N$14</c:f>
              <c:strCache>
                <c:ptCount val="1"/>
                <c:pt idx="0">
                  <c:v>Net Profit</c:v>
                </c:pt>
              </c:strCache>
            </c:strRef>
          </c:tx>
          <c:spPr>
            <a:solidFill>
              <a:srgbClr val="21C587"/>
            </a:solidFill>
            <a:ln>
              <a:noFill/>
            </a:ln>
            <a:effectLst/>
          </c:spPr>
          <c:cat>
            <c:strRef>
              <c:f>Analysis!$M$15:$M$17</c:f>
              <c:strCache>
                <c:ptCount val="3"/>
                <c:pt idx="0">
                  <c:v>Daniel Barnes</c:v>
                </c:pt>
                <c:pt idx="1">
                  <c:v>James Simmons</c:v>
                </c:pt>
                <c:pt idx="2">
                  <c:v>Johnny Andrews</c:v>
                </c:pt>
              </c:strCache>
            </c:strRef>
          </c:cat>
          <c:val>
            <c:numRef>
              <c:f>Analysis!$N$15:$N$17</c:f>
              <c:numCache>
                <c:formatCode>General</c:formatCode>
                <c:ptCount val="3"/>
                <c:pt idx="0">
                  <c:v>1521</c:v>
                </c:pt>
                <c:pt idx="1">
                  <c:v>2028</c:v>
                </c:pt>
                <c:pt idx="2">
                  <c:v>1521</c:v>
                </c:pt>
              </c:numCache>
            </c:numRef>
          </c:val>
          <c:extLst>
            <c:ext xmlns:c16="http://schemas.microsoft.com/office/drawing/2014/chart" uri="{C3380CC4-5D6E-409C-BE32-E72D297353CC}">
              <c16:uniqueId val="{00000000-BFE1-47FD-9550-BB348D3373E4}"/>
            </c:ext>
          </c:extLst>
        </c:ser>
        <c:dLbls>
          <c:showLegendKey val="0"/>
          <c:showVal val="0"/>
          <c:showCatName val="0"/>
          <c:showSerName val="0"/>
          <c:showPercent val="0"/>
          <c:showBubbleSize val="0"/>
        </c:dLbls>
        <c:axId val="201830528"/>
        <c:axId val="201831488"/>
      </c:areaChart>
      <c:catAx>
        <c:axId val="201830528"/>
        <c:scaling>
          <c:orientation val="minMax"/>
        </c:scaling>
        <c:delete val="1"/>
        <c:axPos val="b"/>
        <c:numFmt formatCode="General" sourceLinked="1"/>
        <c:majorTickMark val="out"/>
        <c:minorTickMark val="none"/>
        <c:tickLblPos val="nextTo"/>
        <c:crossAx val="201831488"/>
        <c:crosses val="autoZero"/>
        <c:auto val="1"/>
        <c:lblAlgn val="ctr"/>
        <c:lblOffset val="100"/>
        <c:noMultiLvlLbl val="0"/>
      </c:catAx>
      <c:valAx>
        <c:axId val="201831488"/>
        <c:scaling>
          <c:orientation val="minMax"/>
        </c:scaling>
        <c:delete val="1"/>
        <c:axPos val="l"/>
        <c:numFmt formatCode="General" sourceLinked="1"/>
        <c:majorTickMark val="none"/>
        <c:minorTickMark val="none"/>
        <c:tickLblPos val="nextTo"/>
        <c:crossAx val="2018305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K$1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1.xml"/><Relationship Id="rId18" Type="http://schemas.openxmlformats.org/officeDocument/2006/relationships/image" Target="../media/image14.svg"/><Relationship Id="rId26" Type="http://schemas.openxmlformats.org/officeDocument/2006/relationships/image" Target="../media/image18.svg"/><Relationship Id="rId3" Type="http://schemas.openxmlformats.org/officeDocument/2006/relationships/image" Target="../media/image3.png"/><Relationship Id="rId21" Type="http://schemas.openxmlformats.org/officeDocument/2006/relationships/chart" Target="../charts/chart7.xml"/><Relationship Id="rId34" Type="http://schemas.openxmlformats.org/officeDocument/2006/relationships/image" Target="../media/image24.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3.png"/><Relationship Id="rId25" Type="http://schemas.openxmlformats.org/officeDocument/2006/relationships/image" Target="../media/image17.png"/><Relationship Id="rId33" Type="http://schemas.openxmlformats.org/officeDocument/2006/relationships/image" Target="../media/image23.png"/><Relationship Id="rId2" Type="http://schemas.openxmlformats.org/officeDocument/2006/relationships/image" Target="../media/image2.svg"/><Relationship Id="rId16" Type="http://schemas.openxmlformats.org/officeDocument/2006/relationships/chart" Target="../charts/chart4.xml"/><Relationship Id="rId20" Type="http://schemas.openxmlformats.org/officeDocument/2006/relationships/chart" Target="../charts/chart6.xml"/><Relationship Id="rId29"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32" Type="http://schemas.openxmlformats.org/officeDocument/2006/relationships/image" Target="../media/image22.svg"/><Relationship Id="rId5" Type="http://schemas.openxmlformats.org/officeDocument/2006/relationships/image" Target="../media/image5.png"/><Relationship Id="rId15" Type="http://schemas.openxmlformats.org/officeDocument/2006/relationships/chart" Target="../charts/chart3.xml"/><Relationship Id="rId23" Type="http://schemas.openxmlformats.org/officeDocument/2006/relationships/image" Target="../media/image16.svg"/><Relationship Id="rId28" Type="http://schemas.openxmlformats.org/officeDocument/2006/relationships/image" Target="../media/image19.png"/><Relationship Id="rId36" Type="http://schemas.openxmlformats.org/officeDocument/2006/relationships/image" Target="../media/image26.svg"/><Relationship Id="rId10" Type="http://schemas.openxmlformats.org/officeDocument/2006/relationships/image" Target="../media/image10.svg"/><Relationship Id="rId19" Type="http://schemas.openxmlformats.org/officeDocument/2006/relationships/chart" Target="../charts/chart5.xml"/><Relationship Id="rId31" Type="http://schemas.openxmlformats.org/officeDocument/2006/relationships/image" Target="../media/image21.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2.xml"/><Relationship Id="rId22" Type="http://schemas.openxmlformats.org/officeDocument/2006/relationships/image" Target="../media/image15.png"/><Relationship Id="rId27" Type="http://schemas.openxmlformats.org/officeDocument/2006/relationships/chart" Target="../charts/chart9.xml"/><Relationship Id="rId30" Type="http://schemas.openxmlformats.org/officeDocument/2006/relationships/chart" Target="../charts/chart10.xml"/><Relationship Id="rId35" Type="http://schemas.openxmlformats.org/officeDocument/2006/relationships/image" Target="../media/image25.png"/><Relationship Id="rId8"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3</xdr:col>
      <xdr:colOff>137160</xdr:colOff>
      <xdr:row>0</xdr:row>
      <xdr:rowOff>7620</xdr:rowOff>
    </xdr:from>
    <xdr:to>
      <xdr:col>5</xdr:col>
      <xdr:colOff>556260</xdr:colOff>
      <xdr:row>2</xdr:row>
      <xdr:rowOff>53340</xdr:rowOff>
    </xdr:to>
    <xdr:sp macro="" textlink="">
      <xdr:nvSpPr>
        <xdr:cNvPr id="2" name="TextBox 1">
          <a:extLst>
            <a:ext uri="{FF2B5EF4-FFF2-40B4-BE49-F238E27FC236}">
              <a16:creationId xmlns:a16="http://schemas.microsoft.com/office/drawing/2014/main" id="{022991D7-08A8-C6E3-2682-BC774C8CBDE3}"/>
            </a:ext>
          </a:extLst>
        </xdr:cNvPr>
        <xdr:cNvSpPr txBox="1"/>
      </xdr:nvSpPr>
      <xdr:spPr>
        <a:xfrm>
          <a:off x="1965960" y="7620"/>
          <a:ext cx="16383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Dashboard</a:t>
          </a:r>
        </a:p>
      </xdr:txBody>
    </xdr:sp>
    <xdr:clientData/>
  </xdr:twoCellAnchor>
  <xdr:twoCellAnchor editAs="absolute">
    <xdr:from>
      <xdr:col>2</xdr:col>
      <xdr:colOff>487680</xdr:colOff>
      <xdr:row>0</xdr:row>
      <xdr:rowOff>0</xdr:rowOff>
    </xdr:from>
    <xdr:to>
      <xdr:col>3</xdr:col>
      <xdr:colOff>390525</xdr:colOff>
      <xdr:row>1</xdr:row>
      <xdr:rowOff>167640</xdr:rowOff>
    </xdr:to>
    <xdr:pic>
      <xdr:nvPicPr>
        <xdr:cNvPr id="5" name="Graphic 4" descr="Gauge">
          <a:extLst>
            <a:ext uri="{FF2B5EF4-FFF2-40B4-BE49-F238E27FC236}">
              <a16:creationId xmlns:a16="http://schemas.microsoft.com/office/drawing/2014/main" id="{032466AE-444A-44C5-BE46-0F293407D6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06880" y="0"/>
          <a:ext cx="512445" cy="434340"/>
        </a:xfrm>
        <a:prstGeom prst="rect">
          <a:avLst/>
        </a:prstGeom>
      </xdr:spPr>
    </xdr:pic>
    <xdr:clientData/>
  </xdr:twoCellAnchor>
  <xdr:twoCellAnchor editAs="absolute">
    <xdr:from>
      <xdr:col>3</xdr:col>
      <xdr:colOff>240031</xdr:colOff>
      <xdr:row>2</xdr:row>
      <xdr:rowOff>154305</xdr:rowOff>
    </xdr:from>
    <xdr:to>
      <xdr:col>4</xdr:col>
      <xdr:colOff>304801</xdr:colOff>
      <xdr:row>4</xdr:row>
      <xdr:rowOff>95250</xdr:rowOff>
    </xdr:to>
    <xdr:sp macro="" textlink="">
      <xdr:nvSpPr>
        <xdr:cNvPr id="8" name="TextBox 7">
          <a:extLst>
            <a:ext uri="{FF2B5EF4-FFF2-40B4-BE49-F238E27FC236}">
              <a16:creationId xmlns:a16="http://schemas.microsoft.com/office/drawing/2014/main" id="{B1959C3E-7919-4DF0-83E6-74A3A6047C74}"/>
            </a:ext>
          </a:extLst>
        </xdr:cNvPr>
        <xdr:cNvSpPr txBox="1"/>
      </xdr:nvSpPr>
      <xdr:spPr>
        <a:xfrm>
          <a:off x="2068831" y="603885"/>
          <a:ext cx="67437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Coutries</a:t>
          </a:r>
        </a:p>
      </xdr:txBody>
    </xdr:sp>
    <xdr:clientData/>
  </xdr:twoCellAnchor>
  <xdr:twoCellAnchor editAs="absolute">
    <xdr:from>
      <xdr:col>6</xdr:col>
      <xdr:colOff>226695</xdr:colOff>
      <xdr:row>2</xdr:row>
      <xdr:rowOff>135255</xdr:rowOff>
    </xdr:from>
    <xdr:to>
      <xdr:col>7</xdr:col>
      <xdr:colOff>312420</xdr:colOff>
      <xdr:row>4</xdr:row>
      <xdr:rowOff>76200</xdr:rowOff>
    </xdr:to>
    <xdr:sp macro="" textlink="">
      <xdr:nvSpPr>
        <xdr:cNvPr id="9" name="TextBox 8">
          <a:extLst>
            <a:ext uri="{FF2B5EF4-FFF2-40B4-BE49-F238E27FC236}">
              <a16:creationId xmlns:a16="http://schemas.microsoft.com/office/drawing/2014/main" id="{3AA29630-07E0-48C3-BA67-0754C239077C}"/>
            </a:ext>
          </a:extLst>
        </xdr:cNvPr>
        <xdr:cNvSpPr txBox="1"/>
      </xdr:nvSpPr>
      <xdr:spPr>
        <a:xfrm>
          <a:off x="3884295" y="584835"/>
          <a:ext cx="695325"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Products</a:t>
          </a:r>
        </a:p>
      </xdr:txBody>
    </xdr:sp>
    <xdr:clientData/>
  </xdr:twoCellAnchor>
  <xdr:twoCellAnchor editAs="absolute">
    <xdr:from>
      <xdr:col>9</xdr:col>
      <xdr:colOff>47625</xdr:colOff>
      <xdr:row>2</xdr:row>
      <xdr:rowOff>104775</xdr:rowOff>
    </xdr:from>
    <xdr:to>
      <xdr:col>10</xdr:col>
      <xdr:colOff>259080</xdr:colOff>
      <xdr:row>4</xdr:row>
      <xdr:rowOff>38100</xdr:rowOff>
    </xdr:to>
    <xdr:sp macro="" textlink="">
      <xdr:nvSpPr>
        <xdr:cNvPr id="10" name="TextBox 9">
          <a:extLst>
            <a:ext uri="{FF2B5EF4-FFF2-40B4-BE49-F238E27FC236}">
              <a16:creationId xmlns:a16="http://schemas.microsoft.com/office/drawing/2014/main" id="{A5766D73-5045-4B8B-BEB3-D4553EDE7535}"/>
            </a:ext>
          </a:extLst>
        </xdr:cNvPr>
        <xdr:cNvSpPr txBox="1"/>
      </xdr:nvSpPr>
      <xdr:spPr>
        <a:xfrm>
          <a:off x="5534025" y="554355"/>
          <a:ext cx="821055"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Customers</a:t>
          </a:r>
        </a:p>
      </xdr:txBody>
    </xdr:sp>
    <xdr:clientData/>
  </xdr:twoCellAnchor>
  <xdr:twoCellAnchor editAs="absolute">
    <xdr:from>
      <xdr:col>12</xdr:col>
      <xdr:colOff>160020</xdr:colOff>
      <xdr:row>2</xdr:row>
      <xdr:rowOff>104775</xdr:rowOff>
    </xdr:from>
    <xdr:to>
      <xdr:col>13</xdr:col>
      <xdr:colOff>365759</xdr:colOff>
      <xdr:row>4</xdr:row>
      <xdr:rowOff>38100</xdr:rowOff>
    </xdr:to>
    <xdr:sp macro="" textlink="">
      <xdr:nvSpPr>
        <xdr:cNvPr id="11" name="TextBox 10">
          <a:extLst>
            <a:ext uri="{FF2B5EF4-FFF2-40B4-BE49-F238E27FC236}">
              <a16:creationId xmlns:a16="http://schemas.microsoft.com/office/drawing/2014/main" id="{22D5FD62-8DCC-4368-BCCD-FD064FD45743}"/>
            </a:ext>
          </a:extLst>
        </xdr:cNvPr>
        <xdr:cNvSpPr txBox="1"/>
      </xdr:nvSpPr>
      <xdr:spPr>
        <a:xfrm>
          <a:off x="7475220" y="554355"/>
          <a:ext cx="815339"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Transation</a:t>
          </a:r>
        </a:p>
      </xdr:txBody>
    </xdr:sp>
    <xdr:clientData/>
  </xdr:twoCellAnchor>
  <xdr:twoCellAnchor editAs="absolute">
    <xdr:from>
      <xdr:col>15</xdr:col>
      <xdr:colOff>38101</xdr:colOff>
      <xdr:row>2</xdr:row>
      <xdr:rowOff>76200</xdr:rowOff>
    </xdr:from>
    <xdr:to>
      <xdr:col>18</xdr:col>
      <xdr:colOff>449581</xdr:colOff>
      <xdr:row>4</xdr:row>
      <xdr:rowOff>9525</xdr:rowOff>
    </xdr:to>
    <xdr:sp macro="" textlink="Analysis!B1">
      <xdr:nvSpPr>
        <xdr:cNvPr id="12" name="TextBox 11">
          <a:extLst>
            <a:ext uri="{FF2B5EF4-FFF2-40B4-BE49-F238E27FC236}">
              <a16:creationId xmlns:a16="http://schemas.microsoft.com/office/drawing/2014/main" id="{29A84636-41E6-438C-A2A1-3706C01AA21E}"/>
            </a:ext>
          </a:extLst>
        </xdr:cNvPr>
        <xdr:cNvSpPr txBox="1"/>
      </xdr:nvSpPr>
      <xdr:spPr>
        <a:xfrm>
          <a:off x="9182101" y="525780"/>
          <a:ext cx="2240280"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C897687-1447-48AF-A18F-252E5B040976}" type="TxLink">
            <a:rPr lang="en-US" sz="1200" b="1" i="0" u="none" strike="noStrike">
              <a:solidFill>
                <a:schemeClr val="tx1">
                  <a:lumMod val="65000"/>
                  <a:lumOff val="35000"/>
                </a:schemeClr>
              </a:solidFill>
              <a:latin typeface="Aptos Narrow"/>
              <a:ea typeface="+mn-ea"/>
              <a:cs typeface="+mn-cs"/>
            </a:rPr>
            <a:pPr marL="0" indent="0" algn="l"/>
            <a:t>Tuesday, April 28, 2026</a:t>
          </a:fld>
          <a:endParaRPr lang="en-US" sz="1200" b="1" i="0" u="none" strike="noStrike">
            <a:solidFill>
              <a:schemeClr val="tx1">
                <a:lumMod val="65000"/>
                <a:lumOff val="35000"/>
              </a:schemeClr>
            </a:solidFill>
            <a:latin typeface="Aptos Narrow"/>
            <a:ea typeface="+mn-ea"/>
            <a:cs typeface="+mn-cs"/>
          </a:endParaRPr>
        </a:p>
      </xdr:txBody>
    </xdr:sp>
    <xdr:clientData/>
  </xdr:twoCellAnchor>
  <xdr:twoCellAnchor editAs="absolute">
    <xdr:from>
      <xdr:col>3</xdr:col>
      <xdr:colOff>22860</xdr:colOff>
      <xdr:row>2</xdr:row>
      <xdr:rowOff>135256</xdr:rowOff>
    </xdr:from>
    <xdr:to>
      <xdr:col>3</xdr:col>
      <xdr:colOff>323850</xdr:colOff>
      <xdr:row>4</xdr:row>
      <xdr:rowOff>47626</xdr:rowOff>
    </xdr:to>
    <xdr:pic>
      <xdr:nvPicPr>
        <xdr:cNvPr id="13" name="Graphic 12" descr="Farm scene">
          <a:extLst>
            <a:ext uri="{FF2B5EF4-FFF2-40B4-BE49-F238E27FC236}">
              <a16:creationId xmlns:a16="http://schemas.microsoft.com/office/drawing/2014/main" id="{5B2DB197-6214-4119-903B-0C6E64373DE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51660" y="584836"/>
          <a:ext cx="300990" cy="278130"/>
        </a:xfrm>
        <a:prstGeom prst="rect">
          <a:avLst/>
        </a:prstGeom>
      </xdr:spPr>
    </xdr:pic>
    <xdr:clientData/>
  </xdr:twoCellAnchor>
  <xdr:twoCellAnchor editAs="absolute">
    <xdr:from>
      <xdr:col>8</xdr:col>
      <xdr:colOff>381000</xdr:colOff>
      <xdr:row>2</xdr:row>
      <xdr:rowOff>85725</xdr:rowOff>
    </xdr:from>
    <xdr:to>
      <xdr:col>9</xdr:col>
      <xdr:colOff>148590</xdr:colOff>
      <xdr:row>4</xdr:row>
      <xdr:rowOff>66675</xdr:rowOff>
    </xdr:to>
    <xdr:pic>
      <xdr:nvPicPr>
        <xdr:cNvPr id="14" name="Graphic 13" descr="Target Audience">
          <a:extLst>
            <a:ext uri="{FF2B5EF4-FFF2-40B4-BE49-F238E27FC236}">
              <a16:creationId xmlns:a16="http://schemas.microsoft.com/office/drawing/2014/main" id="{EA34268E-281B-4638-A64E-5450490D718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257800" y="535305"/>
          <a:ext cx="377190" cy="346710"/>
        </a:xfrm>
        <a:prstGeom prst="rect">
          <a:avLst/>
        </a:prstGeom>
      </xdr:spPr>
    </xdr:pic>
    <xdr:clientData/>
  </xdr:twoCellAnchor>
  <xdr:twoCellAnchor editAs="absolute">
    <xdr:from>
      <xdr:col>5</xdr:col>
      <xdr:colOff>478155</xdr:colOff>
      <xdr:row>2</xdr:row>
      <xdr:rowOff>76200</xdr:rowOff>
    </xdr:from>
    <xdr:to>
      <xdr:col>6</xdr:col>
      <xdr:colOff>302895</xdr:colOff>
      <xdr:row>4</xdr:row>
      <xdr:rowOff>106680</xdr:rowOff>
    </xdr:to>
    <xdr:pic>
      <xdr:nvPicPr>
        <xdr:cNvPr id="15" name="Graphic 14" descr="Barcode">
          <a:extLst>
            <a:ext uri="{FF2B5EF4-FFF2-40B4-BE49-F238E27FC236}">
              <a16:creationId xmlns:a16="http://schemas.microsoft.com/office/drawing/2014/main" id="{A096B606-7FF3-4FB1-91B1-648A5E7E424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526155" y="525780"/>
          <a:ext cx="434340" cy="396240"/>
        </a:xfrm>
        <a:prstGeom prst="rect">
          <a:avLst/>
        </a:prstGeom>
      </xdr:spPr>
    </xdr:pic>
    <xdr:clientData/>
  </xdr:twoCellAnchor>
  <xdr:twoCellAnchor editAs="absolute">
    <xdr:from>
      <xdr:col>14</xdr:col>
      <xdr:colOff>395745</xdr:colOff>
      <xdr:row>2</xdr:row>
      <xdr:rowOff>71398</xdr:rowOff>
    </xdr:from>
    <xdr:to>
      <xdr:col>15</xdr:col>
      <xdr:colOff>137161</xdr:colOff>
      <xdr:row>4</xdr:row>
      <xdr:rowOff>26174</xdr:rowOff>
    </xdr:to>
    <xdr:pic>
      <xdr:nvPicPr>
        <xdr:cNvPr id="16" name="Graphic 15" descr="Watch">
          <a:extLst>
            <a:ext uri="{FF2B5EF4-FFF2-40B4-BE49-F238E27FC236}">
              <a16:creationId xmlns:a16="http://schemas.microsoft.com/office/drawing/2014/main" id="{19006A09-B301-4CA4-B504-CD09EBBB31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30145" y="520978"/>
          <a:ext cx="351016" cy="320536"/>
        </a:xfrm>
        <a:prstGeom prst="rect">
          <a:avLst/>
        </a:prstGeom>
      </xdr:spPr>
    </xdr:pic>
    <xdr:clientData/>
  </xdr:twoCellAnchor>
  <xdr:twoCellAnchor editAs="oneCell">
    <xdr:from>
      <xdr:col>11</xdr:col>
      <xdr:colOff>493395</xdr:colOff>
      <xdr:row>2</xdr:row>
      <xdr:rowOff>169545</xdr:rowOff>
    </xdr:from>
    <xdr:to>
      <xdr:col>12</xdr:col>
      <xdr:colOff>251460</xdr:colOff>
      <xdr:row>4</xdr:row>
      <xdr:rowOff>102870</xdr:rowOff>
    </xdr:to>
    <xdr:pic>
      <xdr:nvPicPr>
        <xdr:cNvPr id="17" name="Graphic 16" descr="List">
          <a:extLst>
            <a:ext uri="{FF2B5EF4-FFF2-40B4-BE49-F238E27FC236}">
              <a16:creationId xmlns:a16="http://schemas.microsoft.com/office/drawing/2014/main" id="{41088B2F-7594-4001-ADE4-C2EA83156FF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98995" y="535305"/>
          <a:ext cx="367665" cy="299085"/>
        </a:xfrm>
        <a:prstGeom prst="rect">
          <a:avLst/>
        </a:prstGeom>
      </xdr:spPr>
    </xdr:pic>
    <xdr:clientData/>
  </xdr:twoCellAnchor>
  <xdr:twoCellAnchor editAs="absolute">
    <xdr:from>
      <xdr:col>4</xdr:col>
      <xdr:colOff>182880</xdr:colOff>
      <xdr:row>2</xdr:row>
      <xdr:rowOff>91440</xdr:rowOff>
    </xdr:from>
    <xdr:to>
      <xdr:col>5</xdr:col>
      <xdr:colOff>247650</xdr:colOff>
      <xdr:row>4</xdr:row>
      <xdr:rowOff>32385</xdr:rowOff>
    </xdr:to>
    <xdr:sp macro="" textlink="Total_country">
      <xdr:nvSpPr>
        <xdr:cNvPr id="23" name="TextBox 22">
          <a:extLst>
            <a:ext uri="{FF2B5EF4-FFF2-40B4-BE49-F238E27FC236}">
              <a16:creationId xmlns:a16="http://schemas.microsoft.com/office/drawing/2014/main" id="{C378B22D-D4D1-4A40-AD4B-DF307EE1F8B7}"/>
            </a:ext>
          </a:extLst>
        </xdr:cNvPr>
        <xdr:cNvSpPr txBox="1"/>
      </xdr:nvSpPr>
      <xdr:spPr>
        <a:xfrm>
          <a:off x="2621280" y="541020"/>
          <a:ext cx="67437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42848F-5A8D-4804-AEF3-5F28D231787A}" type="TxLink">
            <a:rPr lang="en-US" sz="1800" b="1" i="0" u="none" strike="noStrike">
              <a:solidFill>
                <a:schemeClr val="tx1">
                  <a:lumMod val="65000"/>
                  <a:lumOff val="35000"/>
                </a:schemeClr>
              </a:solidFill>
              <a:latin typeface="Aptos Narrow"/>
            </a:rPr>
            <a:pPr/>
            <a:t>58</a:t>
          </a:fld>
          <a:endParaRPr lang="en-US" sz="1800" b="1" i="1">
            <a:solidFill>
              <a:schemeClr val="tx1">
                <a:lumMod val="65000"/>
                <a:lumOff val="35000"/>
              </a:schemeClr>
            </a:solidFill>
          </a:endParaRPr>
        </a:p>
      </xdr:txBody>
    </xdr:sp>
    <xdr:clientData/>
  </xdr:twoCellAnchor>
  <xdr:twoCellAnchor editAs="absolute">
    <xdr:from>
      <xdr:col>7</xdr:col>
      <xdr:colOff>213360</xdr:colOff>
      <xdr:row>2</xdr:row>
      <xdr:rowOff>76200</xdr:rowOff>
    </xdr:from>
    <xdr:to>
      <xdr:col>8</xdr:col>
      <xdr:colOff>278130</xdr:colOff>
      <xdr:row>4</xdr:row>
      <xdr:rowOff>17145</xdr:rowOff>
    </xdr:to>
    <xdr:sp macro="" textlink="Total_product">
      <xdr:nvSpPr>
        <xdr:cNvPr id="24" name="TextBox 23">
          <a:extLst>
            <a:ext uri="{FF2B5EF4-FFF2-40B4-BE49-F238E27FC236}">
              <a16:creationId xmlns:a16="http://schemas.microsoft.com/office/drawing/2014/main" id="{DA8DA98E-C0D4-409A-8645-DE72219F486B}"/>
            </a:ext>
          </a:extLst>
        </xdr:cNvPr>
        <xdr:cNvSpPr txBox="1"/>
      </xdr:nvSpPr>
      <xdr:spPr>
        <a:xfrm>
          <a:off x="4480560" y="525780"/>
          <a:ext cx="67437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CA87AB-6782-47CB-A128-9B3FCD1C57DD}" type="TxLink">
            <a:rPr lang="en-US" sz="1800" b="1" i="0" u="none" strike="noStrike">
              <a:solidFill>
                <a:schemeClr val="tx1">
                  <a:lumMod val="65000"/>
                  <a:lumOff val="35000"/>
                </a:schemeClr>
              </a:solidFill>
              <a:latin typeface="Aptos Narrow"/>
            </a:rPr>
            <a:pPr/>
            <a:t>1</a:t>
          </a:fld>
          <a:endParaRPr lang="en-US" sz="1800" b="1" i="1">
            <a:solidFill>
              <a:schemeClr val="tx1">
                <a:lumMod val="65000"/>
                <a:lumOff val="35000"/>
              </a:schemeClr>
            </a:solidFill>
          </a:endParaRPr>
        </a:p>
      </xdr:txBody>
    </xdr:sp>
    <xdr:clientData/>
  </xdr:twoCellAnchor>
  <xdr:twoCellAnchor editAs="absolute">
    <xdr:from>
      <xdr:col>10</xdr:col>
      <xdr:colOff>129540</xdr:colOff>
      <xdr:row>2</xdr:row>
      <xdr:rowOff>60960</xdr:rowOff>
    </xdr:from>
    <xdr:to>
      <xdr:col>11</xdr:col>
      <xdr:colOff>194310</xdr:colOff>
      <xdr:row>4</xdr:row>
      <xdr:rowOff>1905</xdr:rowOff>
    </xdr:to>
    <xdr:sp macro="" textlink="Total_customers">
      <xdr:nvSpPr>
        <xdr:cNvPr id="25" name="TextBox 24">
          <a:extLst>
            <a:ext uri="{FF2B5EF4-FFF2-40B4-BE49-F238E27FC236}">
              <a16:creationId xmlns:a16="http://schemas.microsoft.com/office/drawing/2014/main" id="{2861C4FA-4BA2-4820-8487-432370F33D4A}"/>
            </a:ext>
          </a:extLst>
        </xdr:cNvPr>
        <xdr:cNvSpPr txBox="1"/>
      </xdr:nvSpPr>
      <xdr:spPr>
        <a:xfrm>
          <a:off x="6225540" y="510540"/>
          <a:ext cx="67437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50A702-6442-445B-A4CB-C47A1F026F9E}" type="TxLink">
            <a:rPr lang="en-US" sz="1800" b="1" i="0" u="none" strike="noStrike">
              <a:solidFill>
                <a:schemeClr val="tx1">
                  <a:lumMod val="65000"/>
                  <a:lumOff val="35000"/>
                </a:schemeClr>
              </a:solidFill>
              <a:latin typeface="Aptos Narrow"/>
            </a:rPr>
            <a:pPr/>
            <a:t>96</a:t>
          </a:fld>
          <a:endParaRPr lang="en-US" sz="1800" b="1" i="1">
            <a:solidFill>
              <a:schemeClr val="tx1">
                <a:lumMod val="65000"/>
                <a:lumOff val="35000"/>
              </a:schemeClr>
            </a:solidFill>
          </a:endParaRPr>
        </a:p>
      </xdr:txBody>
    </xdr:sp>
    <xdr:clientData/>
  </xdr:twoCellAnchor>
  <xdr:twoCellAnchor editAs="absolute">
    <xdr:from>
      <xdr:col>13</xdr:col>
      <xdr:colOff>236220</xdr:colOff>
      <xdr:row>2</xdr:row>
      <xdr:rowOff>53340</xdr:rowOff>
    </xdr:from>
    <xdr:to>
      <xdr:col>14</xdr:col>
      <xdr:colOff>300990</xdr:colOff>
      <xdr:row>3</xdr:row>
      <xdr:rowOff>177165</xdr:rowOff>
    </xdr:to>
    <xdr:sp macro="" textlink="All_Transaction">
      <xdr:nvSpPr>
        <xdr:cNvPr id="26" name="TextBox 25">
          <a:extLst>
            <a:ext uri="{FF2B5EF4-FFF2-40B4-BE49-F238E27FC236}">
              <a16:creationId xmlns:a16="http://schemas.microsoft.com/office/drawing/2014/main" id="{E85474BB-7788-4377-A32A-CDED1805165F}"/>
            </a:ext>
          </a:extLst>
        </xdr:cNvPr>
        <xdr:cNvSpPr txBox="1"/>
      </xdr:nvSpPr>
      <xdr:spPr>
        <a:xfrm>
          <a:off x="8161020" y="502920"/>
          <a:ext cx="67437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003856-9757-4506-A9B0-C0374CB2F63B}" type="TxLink">
            <a:rPr lang="en-US" sz="1800" b="1" i="0" u="none" strike="noStrike">
              <a:solidFill>
                <a:schemeClr val="tx1">
                  <a:lumMod val="65000"/>
                  <a:lumOff val="35000"/>
                </a:schemeClr>
              </a:solidFill>
              <a:latin typeface="Aptos Narrow"/>
            </a:rPr>
            <a:pPr/>
            <a:t>104</a:t>
          </a:fld>
          <a:endParaRPr lang="en-US" sz="1800" b="1" i="1">
            <a:solidFill>
              <a:schemeClr val="tx1">
                <a:lumMod val="65000"/>
                <a:lumOff val="35000"/>
              </a:schemeClr>
            </a:solidFill>
          </a:endParaRPr>
        </a:p>
      </xdr:txBody>
    </xdr:sp>
    <xdr:clientData/>
  </xdr:twoCellAnchor>
  <xdr:twoCellAnchor>
    <xdr:from>
      <xdr:col>3</xdr:col>
      <xdr:colOff>22860</xdr:colOff>
      <xdr:row>8</xdr:row>
      <xdr:rowOff>7620</xdr:rowOff>
    </xdr:from>
    <xdr:to>
      <xdr:col>6</xdr:col>
      <xdr:colOff>288036</xdr:colOff>
      <xdr:row>11</xdr:row>
      <xdr:rowOff>144780</xdr:rowOff>
    </xdr:to>
    <xdr:sp macro="" textlink="">
      <xdr:nvSpPr>
        <xdr:cNvPr id="27" name="Rectangle: Rounded Corners 26">
          <a:extLst>
            <a:ext uri="{FF2B5EF4-FFF2-40B4-BE49-F238E27FC236}">
              <a16:creationId xmlns:a16="http://schemas.microsoft.com/office/drawing/2014/main" id="{BAB4B75B-0AF3-722E-8D0C-2C37DA354C98}"/>
            </a:ext>
          </a:extLst>
        </xdr:cNvPr>
        <xdr:cNvSpPr/>
      </xdr:nvSpPr>
      <xdr:spPr>
        <a:xfrm>
          <a:off x="1851660" y="1470660"/>
          <a:ext cx="2093976" cy="685800"/>
        </a:xfrm>
        <a:prstGeom prst="roundRect">
          <a:avLst>
            <a:gd name="adj" fmla="val 11112"/>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528320</xdr:colOff>
      <xdr:row>8</xdr:row>
      <xdr:rowOff>7620</xdr:rowOff>
    </xdr:from>
    <xdr:to>
      <xdr:col>10</xdr:col>
      <xdr:colOff>183896</xdr:colOff>
      <xdr:row>11</xdr:row>
      <xdr:rowOff>144780</xdr:rowOff>
    </xdr:to>
    <xdr:sp macro="" textlink="">
      <xdr:nvSpPr>
        <xdr:cNvPr id="28" name="Rectangle: Rounded Corners 27">
          <a:extLst>
            <a:ext uri="{FF2B5EF4-FFF2-40B4-BE49-F238E27FC236}">
              <a16:creationId xmlns:a16="http://schemas.microsoft.com/office/drawing/2014/main" id="{1612590E-D7E8-40AD-BA37-96E89E45BD72}"/>
            </a:ext>
          </a:extLst>
        </xdr:cNvPr>
        <xdr:cNvSpPr/>
      </xdr:nvSpPr>
      <xdr:spPr>
        <a:xfrm>
          <a:off x="4185920" y="1470660"/>
          <a:ext cx="2093976" cy="685800"/>
        </a:xfrm>
        <a:prstGeom prst="roundRect">
          <a:avLst>
            <a:gd name="adj" fmla="val 11112"/>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424180</xdr:colOff>
      <xdr:row>8</xdr:row>
      <xdr:rowOff>7620</xdr:rowOff>
    </xdr:from>
    <xdr:to>
      <xdr:col>14</xdr:col>
      <xdr:colOff>79756</xdr:colOff>
      <xdr:row>11</xdr:row>
      <xdr:rowOff>144780</xdr:rowOff>
    </xdr:to>
    <xdr:sp macro="" textlink="">
      <xdr:nvSpPr>
        <xdr:cNvPr id="29" name="Rectangle: Rounded Corners 28">
          <a:extLst>
            <a:ext uri="{FF2B5EF4-FFF2-40B4-BE49-F238E27FC236}">
              <a16:creationId xmlns:a16="http://schemas.microsoft.com/office/drawing/2014/main" id="{4CE24B40-B8BF-4524-86B6-11DC041CF167}"/>
            </a:ext>
          </a:extLst>
        </xdr:cNvPr>
        <xdr:cNvSpPr/>
      </xdr:nvSpPr>
      <xdr:spPr>
        <a:xfrm>
          <a:off x="6520180" y="1470660"/>
          <a:ext cx="2093976" cy="685800"/>
        </a:xfrm>
        <a:prstGeom prst="roundRect">
          <a:avLst>
            <a:gd name="adj" fmla="val 11112"/>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320040</xdr:colOff>
      <xdr:row>8</xdr:row>
      <xdr:rowOff>7620</xdr:rowOff>
    </xdr:from>
    <xdr:to>
      <xdr:col>17</xdr:col>
      <xdr:colOff>585216</xdr:colOff>
      <xdr:row>11</xdr:row>
      <xdr:rowOff>144780</xdr:rowOff>
    </xdr:to>
    <xdr:sp macro="" textlink="">
      <xdr:nvSpPr>
        <xdr:cNvPr id="30" name="Rectangle: Rounded Corners 29">
          <a:extLst>
            <a:ext uri="{FF2B5EF4-FFF2-40B4-BE49-F238E27FC236}">
              <a16:creationId xmlns:a16="http://schemas.microsoft.com/office/drawing/2014/main" id="{20FF5BF8-E6A8-483F-8534-C69B543ACDCF}"/>
            </a:ext>
          </a:extLst>
        </xdr:cNvPr>
        <xdr:cNvSpPr/>
      </xdr:nvSpPr>
      <xdr:spPr>
        <a:xfrm>
          <a:off x="8854440" y="1470660"/>
          <a:ext cx="2093976" cy="685800"/>
        </a:xfrm>
        <a:prstGeom prst="roundRect">
          <a:avLst>
            <a:gd name="adj" fmla="val 11112"/>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586741</xdr:colOff>
      <xdr:row>9</xdr:row>
      <xdr:rowOff>160020</xdr:rowOff>
    </xdr:from>
    <xdr:to>
      <xdr:col>4</xdr:col>
      <xdr:colOff>274321</xdr:colOff>
      <xdr:row>11</xdr:row>
      <xdr:rowOff>100965</xdr:rowOff>
    </xdr:to>
    <xdr:sp macro="" textlink="">
      <xdr:nvSpPr>
        <xdr:cNvPr id="31" name="TextBox 30">
          <a:extLst>
            <a:ext uri="{FF2B5EF4-FFF2-40B4-BE49-F238E27FC236}">
              <a16:creationId xmlns:a16="http://schemas.microsoft.com/office/drawing/2014/main" id="{99C48612-ED6D-47CC-A699-AFC3C88EDF29}"/>
            </a:ext>
          </a:extLst>
        </xdr:cNvPr>
        <xdr:cNvSpPr txBox="1"/>
      </xdr:nvSpPr>
      <xdr:spPr>
        <a:xfrm>
          <a:off x="1805941" y="1889760"/>
          <a:ext cx="90678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Quatity</a:t>
          </a:r>
          <a:r>
            <a:rPr lang="en-US" sz="1100" b="0" i="1" baseline="0">
              <a:solidFill>
                <a:schemeClr val="tx1">
                  <a:lumMod val="85000"/>
                  <a:lumOff val="15000"/>
                </a:schemeClr>
              </a:solidFill>
            </a:rPr>
            <a:t> sold</a:t>
          </a:r>
          <a:endParaRPr lang="en-US" sz="1100" b="0" i="1">
            <a:solidFill>
              <a:schemeClr val="tx1">
                <a:lumMod val="85000"/>
                <a:lumOff val="15000"/>
              </a:schemeClr>
            </a:solidFill>
          </a:endParaRPr>
        </a:p>
      </xdr:txBody>
    </xdr:sp>
    <xdr:clientData/>
  </xdr:twoCellAnchor>
  <xdr:twoCellAnchor editAs="absolute">
    <xdr:from>
      <xdr:col>6</xdr:col>
      <xdr:colOff>499111</xdr:colOff>
      <xdr:row>9</xdr:row>
      <xdr:rowOff>160020</xdr:rowOff>
    </xdr:from>
    <xdr:to>
      <xdr:col>7</xdr:col>
      <xdr:colOff>548641</xdr:colOff>
      <xdr:row>11</xdr:row>
      <xdr:rowOff>100965</xdr:rowOff>
    </xdr:to>
    <xdr:sp macro="" textlink="">
      <xdr:nvSpPr>
        <xdr:cNvPr id="32" name="TextBox 31">
          <a:extLst>
            <a:ext uri="{FF2B5EF4-FFF2-40B4-BE49-F238E27FC236}">
              <a16:creationId xmlns:a16="http://schemas.microsoft.com/office/drawing/2014/main" id="{C348E943-F1C2-426D-9369-03F03CBB4CDF}"/>
            </a:ext>
          </a:extLst>
        </xdr:cNvPr>
        <xdr:cNvSpPr txBox="1"/>
      </xdr:nvSpPr>
      <xdr:spPr>
        <a:xfrm>
          <a:off x="4156711" y="1889760"/>
          <a:ext cx="65913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COGS</a:t>
          </a:r>
        </a:p>
      </xdr:txBody>
    </xdr:sp>
    <xdr:clientData/>
  </xdr:twoCellAnchor>
  <xdr:twoCellAnchor editAs="absolute">
    <xdr:from>
      <xdr:col>10</xdr:col>
      <xdr:colOff>390525</xdr:colOff>
      <xdr:row>9</xdr:row>
      <xdr:rowOff>160020</xdr:rowOff>
    </xdr:from>
    <xdr:to>
      <xdr:col>12</xdr:col>
      <xdr:colOff>30480</xdr:colOff>
      <xdr:row>11</xdr:row>
      <xdr:rowOff>100965</xdr:rowOff>
    </xdr:to>
    <xdr:sp macro="" textlink="">
      <xdr:nvSpPr>
        <xdr:cNvPr id="33" name="TextBox 32">
          <a:extLst>
            <a:ext uri="{FF2B5EF4-FFF2-40B4-BE49-F238E27FC236}">
              <a16:creationId xmlns:a16="http://schemas.microsoft.com/office/drawing/2014/main" id="{8D0E3280-F38F-46E0-B27B-938F6E0054FE}"/>
            </a:ext>
          </a:extLst>
        </xdr:cNvPr>
        <xdr:cNvSpPr txBox="1"/>
      </xdr:nvSpPr>
      <xdr:spPr>
        <a:xfrm>
          <a:off x="6486525" y="1889760"/>
          <a:ext cx="859155"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Revenue</a:t>
          </a:r>
        </a:p>
      </xdr:txBody>
    </xdr:sp>
    <xdr:clientData/>
  </xdr:twoCellAnchor>
  <xdr:twoCellAnchor editAs="absolute">
    <xdr:from>
      <xdr:col>14</xdr:col>
      <xdr:colOff>281941</xdr:colOff>
      <xdr:row>9</xdr:row>
      <xdr:rowOff>160020</xdr:rowOff>
    </xdr:from>
    <xdr:to>
      <xdr:col>15</xdr:col>
      <xdr:colOff>320041</xdr:colOff>
      <xdr:row>11</xdr:row>
      <xdr:rowOff>100965</xdr:rowOff>
    </xdr:to>
    <xdr:sp macro="" textlink="">
      <xdr:nvSpPr>
        <xdr:cNvPr id="34" name="TextBox 33">
          <a:extLst>
            <a:ext uri="{FF2B5EF4-FFF2-40B4-BE49-F238E27FC236}">
              <a16:creationId xmlns:a16="http://schemas.microsoft.com/office/drawing/2014/main" id="{9E08239C-ED1F-49ED-B8D6-7194C5A0F234}"/>
            </a:ext>
          </a:extLst>
        </xdr:cNvPr>
        <xdr:cNvSpPr txBox="1"/>
      </xdr:nvSpPr>
      <xdr:spPr>
        <a:xfrm>
          <a:off x="8816341" y="1889760"/>
          <a:ext cx="64770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Profit</a:t>
          </a:r>
        </a:p>
      </xdr:txBody>
    </xdr:sp>
    <xdr:clientData/>
  </xdr:twoCellAnchor>
  <xdr:twoCellAnchor editAs="absolute">
    <xdr:from>
      <xdr:col>3</xdr:col>
      <xdr:colOff>22860</xdr:colOff>
      <xdr:row>7</xdr:row>
      <xdr:rowOff>83820</xdr:rowOff>
    </xdr:from>
    <xdr:to>
      <xdr:col>4</xdr:col>
      <xdr:colOff>594360</xdr:colOff>
      <xdr:row>9</xdr:row>
      <xdr:rowOff>76200</xdr:rowOff>
    </xdr:to>
    <xdr:sp macro="" textlink="Quantity">
      <xdr:nvSpPr>
        <xdr:cNvPr id="35" name="TextBox 34">
          <a:extLst>
            <a:ext uri="{FF2B5EF4-FFF2-40B4-BE49-F238E27FC236}">
              <a16:creationId xmlns:a16="http://schemas.microsoft.com/office/drawing/2014/main" id="{0860FEF0-9C25-4555-B3D9-73FCF6189BF0}"/>
            </a:ext>
          </a:extLst>
        </xdr:cNvPr>
        <xdr:cNvSpPr txBox="1"/>
      </xdr:nvSpPr>
      <xdr:spPr>
        <a:xfrm>
          <a:off x="1851660" y="1447800"/>
          <a:ext cx="11811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B5E9E6-BF65-4F83-8A99-7C0ABA168E28}" type="TxLink">
            <a:rPr lang="en-US" sz="2400" b="1" i="0" u="none" strike="noStrike">
              <a:solidFill>
                <a:schemeClr val="accent2"/>
              </a:solidFill>
              <a:latin typeface="Aptos Narrow"/>
            </a:rPr>
            <a:pPr/>
            <a:t>13</a:t>
          </a:fld>
          <a:endParaRPr lang="en-US" sz="2400" b="1" i="1">
            <a:solidFill>
              <a:schemeClr val="accent2"/>
            </a:solidFill>
          </a:endParaRPr>
        </a:p>
      </xdr:txBody>
    </xdr:sp>
    <xdr:clientData/>
  </xdr:twoCellAnchor>
  <xdr:twoCellAnchor editAs="absolute">
    <xdr:from>
      <xdr:col>6</xdr:col>
      <xdr:colOff>605790</xdr:colOff>
      <xdr:row>7</xdr:row>
      <xdr:rowOff>137160</xdr:rowOff>
    </xdr:from>
    <xdr:to>
      <xdr:col>9</xdr:col>
      <xdr:colOff>312420</xdr:colOff>
      <xdr:row>9</xdr:row>
      <xdr:rowOff>78105</xdr:rowOff>
    </xdr:to>
    <xdr:sp macro="" textlink="Sheet1!D19">
      <xdr:nvSpPr>
        <xdr:cNvPr id="36" name="TextBox 35">
          <a:extLst>
            <a:ext uri="{FF2B5EF4-FFF2-40B4-BE49-F238E27FC236}">
              <a16:creationId xmlns:a16="http://schemas.microsoft.com/office/drawing/2014/main" id="{48D795F2-9AE8-47D3-8794-41675E83C690}"/>
            </a:ext>
          </a:extLst>
        </xdr:cNvPr>
        <xdr:cNvSpPr txBox="1"/>
      </xdr:nvSpPr>
      <xdr:spPr>
        <a:xfrm>
          <a:off x="4263390" y="1501140"/>
          <a:ext cx="153543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610F034-F070-4787-92B9-0D92EE47E902}" type="TxLink">
            <a:rPr lang="en-US" sz="2000" b="1" i="0" u="none" strike="noStrike">
              <a:solidFill>
                <a:schemeClr val="tx1">
                  <a:lumMod val="75000"/>
                  <a:lumOff val="25000"/>
                </a:schemeClr>
              </a:solidFill>
              <a:latin typeface="Aptos Narrow"/>
              <a:ea typeface="+mn-ea"/>
              <a:cs typeface="+mn-cs"/>
            </a:rPr>
            <a:pPr marL="0" indent="0"/>
            <a:t> </a:t>
          </a:fld>
          <a:endParaRPr lang="en-US" sz="2000" b="1" i="0" u="none" strike="noStrike">
            <a:solidFill>
              <a:schemeClr val="tx1">
                <a:lumMod val="75000"/>
                <a:lumOff val="25000"/>
              </a:schemeClr>
            </a:solidFill>
            <a:latin typeface="Aptos Narrow"/>
            <a:ea typeface="+mn-ea"/>
            <a:cs typeface="+mn-cs"/>
          </a:endParaRPr>
        </a:p>
      </xdr:txBody>
    </xdr:sp>
    <xdr:clientData/>
  </xdr:twoCellAnchor>
  <xdr:twoCellAnchor editAs="absolute">
    <xdr:from>
      <xdr:col>10</xdr:col>
      <xdr:colOff>504825</xdr:colOff>
      <xdr:row>7</xdr:row>
      <xdr:rowOff>137160</xdr:rowOff>
    </xdr:from>
    <xdr:to>
      <xdr:col>13</xdr:col>
      <xdr:colOff>198120</xdr:colOff>
      <xdr:row>9</xdr:row>
      <xdr:rowOff>78105</xdr:rowOff>
    </xdr:to>
    <xdr:sp macro="" textlink="Sheet1!C19">
      <xdr:nvSpPr>
        <xdr:cNvPr id="37" name="TextBox 36">
          <a:extLst>
            <a:ext uri="{FF2B5EF4-FFF2-40B4-BE49-F238E27FC236}">
              <a16:creationId xmlns:a16="http://schemas.microsoft.com/office/drawing/2014/main" id="{0AE9E742-49CE-4C0B-9435-1AE78A31D472}"/>
            </a:ext>
          </a:extLst>
        </xdr:cNvPr>
        <xdr:cNvSpPr txBox="1"/>
      </xdr:nvSpPr>
      <xdr:spPr>
        <a:xfrm>
          <a:off x="6600825" y="1501140"/>
          <a:ext cx="1522095"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2053D5-073E-4A16-A842-D02C7574D36D}" type="TxLink">
            <a:rPr lang="en-US" sz="2000" b="1" i="0" u="none" strike="noStrike">
              <a:solidFill>
                <a:schemeClr val="tx1">
                  <a:lumMod val="75000"/>
                  <a:lumOff val="25000"/>
                </a:schemeClr>
              </a:solidFill>
              <a:latin typeface="Aptos Narrow"/>
              <a:ea typeface="+mn-ea"/>
              <a:cs typeface="+mn-cs"/>
            </a:rPr>
            <a:pPr marL="0" indent="0"/>
            <a:t> </a:t>
          </a:fld>
          <a:endParaRPr lang="en-US" sz="2000" b="1" i="0" u="none" strike="noStrike">
            <a:solidFill>
              <a:schemeClr val="tx1">
                <a:lumMod val="75000"/>
                <a:lumOff val="25000"/>
              </a:schemeClr>
            </a:solidFill>
            <a:latin typeface="Aptos Narrow"/>
            <a:ea typeface="+mn-ea"/>
            <a:cs typeface="+mn-cs"/>
          </a:endParaRPr>
        </a:p>
      </xdr:txBody>
    </xdr:sp>
    <xdr:clientData/>
  </xdr:twoCellAnchor>
  <xdr:twoCellAnchor editAs="absolute">
    <xdr:from>
      <xdr:col>14</xdr:col>
      <xdr:colOff>396240</xdr:colOff>
      <xdr:row>7</xdr:row>
      <xdr:rowOff>137160</xdr:rowOff>
    </xdr:from>
    <xdr:to>
      <xdr:col>16</xdr:col>
      <xdr:colOff>533400</xdr:colOff>
      <xdr:row>9</xdr:row>
      <xdr:rowOff>78105</xdr:rowOff>
    </xdr:to>
    <xdr:sp macro="" textlink="Sheet1!E19">
      <xdr:nvSpPr>
        <xdr:cNvPr id="38" name="TextBox 37">
          <a:extLst>
            <a:ext uri="{FF2B5EF4-FFF2-40B4-BE49-F238E27FC236}">
              <a16:creationId xmlns:a16="http://schemas.microsoft.com/office/drawing/2014/main" id="{DEE55CE3-000A-40A9-A056-2F89EE456834}"/>
            </a:ext>
          </a:extLst>
        </xdr:cNvPr>
        <xdr:cNvSpPr txBox="1"/>
      </xdr:nvSpPr>
      <xdr:spPr>
        <a:xfrm>
          <a:off x="8930640" y="1501140"/>
          <a:ext cx="135636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38D51E-7143-4A3C-AE45-D498538A696D}" type="TxLink">
            <a:rPr lang="en-US" sz="2000" b="1" i="0" u="none" strike="noStrike">
              <a:solidFill>
                <a:schemeClr val="tx1">
                  <a:lumMod val="75000"/>
                  <a:lumOff val="25000"/>
                </a:schemeClr>
              </a:solidFill>
              <a:latin typeface="Aptos Narrow"/>
              <a:ea typeface="+mn-ea"/>
              <a:cs typeface="+mn-cs"/>
            </a:rPr>
            <a:pPr marL="0" indent="0"/>
            <a:t> </a:t>
          </a:fld>
          <a:endParaRPr lang="en-US" sz="2000" b="1" i="0" u="none" strike="noStrike">
            <a:solidFill>
              <a:schemeClr val="tx1">
                <a:lumMod val="75000"/>
                <a:lumOff val="25000"/>
              </a:schemeClr>
            </a:solidFill>
            <a:latin typeface="Aptos Narrow"/>
            <a:ea typeface="+mn-ea"/>
            <a:cs typeface="+mn-cs"/>
          </a:endParaRPr>
        </a:p>
      </xdr:txBody>
    </xdr:sp>
    <xdr:clientData/>
  </xdr:twoCellAnchor>
  <xdr:twoCellAnchor>
    <xdr:from>
      <xdr:col>4</xdr:col>
      <xdr:colOff>114300</xdr:colOff>
      <xdr:row>8</xdr:row>
      <xdr:rowOff>91440</xdr:rowOff>
    </xdr:from>
    <xdr:to>
      <xdr:col>6</xdr:col>
      <xdr:colOff>385572</xdr:colOff>
      <xdr:row>12</xdr:row>
      <xdr:rowOff>27432</xdr:rowOff>
    </xdr:to>
    <xdr:graphicFrame macro="">
      <xdr:nvGraphicFramePr>
        <xdr:cNvPr id="40" name="Chart 39">
          <a:extLst>
            <a:ext uri="{FF2B5EF4-FFF2-40B4-BE49-F238E27FC236}">
              <a16:creationId xmlns:a16="http://schemas.microsoft.com/office/drawing/2014/main" id="{8678B805-5791-470D-A70C-663EB5FB0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182880</xdr:colOff>
      <xdr:row>8</xdr:row>
      <xdr:rowOff>106680</xdr:rowOff>
    </xdr:from>
    <xdr:to>
      <xdr:col>17</xdr:col>
      <xdr:colOff>510540</xdr:colOff>
      <xdr:row>12</xdr:row>
      <xdr:rowOff>96012</xdr:rowOff>
    </xdr:to>
    <xdr:graphicFrame macro="">
      <xdr:nvGraphicFramePr>
        <xdr:cNvPr id="41" name="Chart 40">
          <a:extLst>
            <a:ext uri="{FF2B5EF4-FFF2-40B4-BE49-F238E27FC236}">
              <a16:creationId xmlns:a16="http://schemas.microsoft.com/office/drawing/2014/main" id="{4CDD383A-E67A-483C-BDD7-4D58C31D9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472434</xdr:colOff>
      <xdr:row>8</xdr:row>
      <xdr:rowOff>30480</xdr:rowOff>
    </xdr:from>
    <xdr:to>
      <xdr:col>14</xdr:col>
      <xdr:colOff>134106</xdr:colOff>
      <xdr:row>12</xdr:row>
      <xdr:rowOff>19812</xdr:rowOff>
    </xdr:to>
    <xdr:graphicFrame macro="">
      <xdr:nvGraphicFramePr>
        <xdr:cNvPr id="42" name="Chart 41">
          <a:extLst>
            <a:ext uri="{FF2B5EF4-FFF2-40B4-BE49-F238E27FC236}">
              <a16:creationId xmlns:a16="http://schemas.microsoft.com/office/drawing/2014/main" id="{23B6E48C-5F14-4BF8-9A14-7E3622F42A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449580</xdr:colOff>
      <xdr:row>8</xdr:row>
      <xdr:rowOff>60960</xdr:rowOff>
    </xdr:from>
    <xdr:to>
      <xdr:col>10</xdr:col>
      <xdr:colOff>111252</xdr:colOff>
      <xdr:row>12</xdr:row>
      <xdr:rowOff>50292</xdr:rowOff>
    </xdr:to>
    <xdr:graphicFrame macro="">
      <xdr:nvGraphicFramePr>
        <xdr:cNvPr id="43" name="Chart 42">
          <a:extLst>
            <a:ext uri="{FF2B5EF4-FFF2-40B4-BE49-F238E27FC236}">
              <a16:creationId xmlns:a16="http://schemas.microsoft.com/office/drawing/2014/main" id="{0E09311A-25E5-4A0C-B874-23CABA057E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7</xdr:col>
      <xdr:colOff>3810</xdr:colOff>
      <xdr:row>7</xdr:row>
      <xdr:rowOff>137160</xdr:rowOff>
    </xdr:from>
    <xdr:to>
      <xdr:col>9</xdr:col>
      <xdr:colOff>320040</xdr:colOff>
      <xdr:row>9</xdr:row>
      <xdr:rowOff>78105</xdr:rowOff>
    </xdr:to>
    <xdr:sp macro="" textlink="Sheet1!D18">
      <xdr:nvSpPr>
        <xdr:cNvPr id="44" name="TextBox 43">
          <a:extLst>
            <a:ext uri="{FF2B5EF4-FFF2-40B4-BE49-F238E27FC236}">
              <a16:creationId xmlns:a16="http://schemas.microsoft.com/office/drawing/2014/main" id="{8363DA31-8266-4614-A7F7-83BEDDDB89A9}"/>
            </a:ext>
          </a:extLst>
        </xdr:cNvPr>
        <xdr:cNvSpPr txBox="1"/>
      </xdr:nvSpPr>
      <xdr:spPr>
        <a:xfrm>
          <a:off x="4271010" y="1501140"/>
          <a:ext cx="153543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948062-3422-46EE-972F-CE8E1827A73B}" type="TxLink">
            <a:rPr lang="en-US" sz="2000" b="1" i="0" u="none" strike="noStrike">
              <a:solidFill>
                <a:schemeClr val="tx1">
                  <a:lumMod val="75000"/>
                  <a:lumOff val="25000"/>
                </a:schemeClr>
              </a:solidFill>
              <a:latin typeface="Aptos Narrow"/>
              <a:ea typeface="+mn-ea"/>
              <a:cs typeface="+mn-cs"/>
            </a:rPr>
            <a:pPr marL="0" indent="0"/>
            <a:t>$16,965</a:t>
          </a:fld>
          <a:endParaRPr lang="en-US" sz="2000" b="1" i="0" u="none" strike="noStrike">
            <a:solidFill>
              <a:schemeClr val="tx1">
                <a:lumMod val="75000"/>
                <a:lumOff val="25000"/>
              </a:schemeClr>
            </a:solidFill>
            <a:latin typeface="Aptos Narrow"/>
            <a:ea typeface="+mn-ea"/>
            <a:cs typeface="+mn-cs"/>
          </a:endParaRPr>
        </a:p>
      </xdr:txBody>
    </xdr:sp>
    <xdr:clientData/>
  </xdr:twoCellAnchor>
  <xdr:twoCellAnchor editAs="absolute">
    <xdr:from>
      <xdr:col>10</xdr:col>
      <xdr:colOff>512445</xdr:colOff>
      <xdr:row>7</xdr:row>
      <xdr:rowOff>137160</xdr:rowOff>
    </xdr:from>
    <xdr:to>
      <xdr:col>13</xdr:col>
      <xdr:colOff>205740</xdr:colOff>
      <xdr:row>9</xdr:row>
      <xdr:rowOff>78105</xdr:rowOff>
    </xdr:to>
    <xdr:sp macro="" textlink="Sheet1!C18">
      <xdr:nvSpPr>
        <xdr:cNvPr id="45" name="TextBox 44">
          <a:extLst>
            <a:ext uri="{FF2B5EF4-FFF2-40B4-BE49-F238E27FC236}">
              <a16:creationId xmlns:a16="http://schemas.microsoft.com/office/drawing/2014/main" id="{A7866CBE-01FF-4F76-AD44-B23100F4DBC0}"/>
            </a:ext>
          </a:extLst>
        </xdr:cNvPr>
        <xdr:cNvSpPr txBox="1"/>
      </xdr:nvSpPr>
      <xdr:spPr>
        <a:xfrm>
          <a:off x="6608445" y="1501140"/>
          <a:ext cx="1522095"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180944C-5E4B-4AF4-A547-03DA731FD2A6}" type="TxLink">
            <a:rPr lang="en-US" sz="2000" b="1" i="0" u="none" strike="noStrike">
              <a:solidFill>
                <a:schemeClr val="tx1">
                  <a:lumMod val="75000"/>
                  <a:lumOff val="25000"/>
                </a:schemeClr>
              </a:solidFill>
              <a:latin typeface="Aptos Narrow"/>
              <a:ea typeface="+mn-ea"/>
              <a:cs typeface="+mn-cs"/>
            </a:rPr>
            <a:pPr marL="0" indent="0"/>
            <a:t>$23,556</a:t>
          </a:fld>
          <a:endParaRPr lang="en-US" sz="2000" b="1" i="0" u="none" strike="noStrike">
            <a:solidFill>
              <a:schemeClr val="tx1">
                <a:lumMod val="75000"/>
                <a:lumOff val="25000"/>
              </a:schemeClr>
            </a:solidFill>
            <a:latin typeface="Aptos Narrow"/>
            <a:ea typeface="+mn-ea"/>
            <a:cs typeface="+mn-cs"/>
          </a:endParaRPr>
        </a:p>
      </xdr:txBody>
    </xdr:sp>
    <xdr:clientData/>
  </xdr:twoCellAnchor>
  <xdr:twoCellAnchor editAs="absolute">
    <xdr:from>
      <xdr:col>14</xdr:col>
      <xdr:colOff>403860</xdr:colOff>
      <xdr:row>7</xdr:row>
      <xdr:rowOff>137160</xdr:rowOff>
    </xdr:from>
    <xdr:to>
      <xdr:col>16</xdr:col>
      <xdr:colOff>541020</xdr:colOff>
      <xdr:row>9</xdr:row>
      <xdr:rowOff>78105</xdr:rowOff>
    </xdr:to>
    <xdr:sp macro="" textlink="Sheet1!E18">
      <xdr:nvSpPr>
        <xdr:cNvPr id="46" name="TextBox 45">
          <a:extLst>
            <a:ext uri="{FF2B5EF4-FFF2-40B4-BE49-F238E27FC236}">
              <a16:creationId xmlns:a16="http://schemas.microsoft.com/office/drawing/2014/main" id="{D5C4B29D-4E94-4A92-9DD0-2378DFA8D154}"/>
            </a:ext>
          </a:extLst>
        </xdr:cNvPr>
        <xdr:cNvSpPr txBox="1"/>
      </xdr:nvSpPr>
      <xdr:spPr>
        <a:xfrm>
          <a:off x="8938260" y="1501140"/>
          <a:ext cx="135636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B01F9E1-9E7B-4EB7-AF11-C1B7BA92D9F9}" type="TxLink">
            <a:rPr lang="en-US" sz="2000" b="1" i="0" u="none" strike="noStrike">
              <a:solidFill>
                <a:schemeClr val="tx1">
                  <a:lumMod val="75000"/>
                  <a:lumOff val="25000"/>
                </a:schemeClr>
              </a:solidFill>
              <a:latin typeface="Aptos Narrow"/>
              <a:ea typeface="+mn-ea"/>
              <a:cs typeface="+mn-cs"/>
            </a:rPr>
            <a:pPr marL="0" indent="0"/>
            <a:t>$6,591</a:t>
          </a:fld>
          <a:endParaRPr lang="en-US" sz="2000" b="1" i="0" u="none" strike="noStrike">
            <a:solidFill>
              <a:schemeClr val="tx1">
                <a:lumMod val="75000"/>
                <a:lumOff val="25000"/>
              </a:schemeClr>
            </a:solidFill>
            <a:latin typeface="Aptos Narrow"/>
            <a:ea typeface="+mn-ea"/>
            <a:cs typeface="+mn-cs"/>
          </a:endParaRPr>
        </a:p>
      </xdr:txBody>
    </xdr:sp>
    <xdr:clientData/>
  </xdr:twoCellAnchor>
  <xdr:twoCellAnchor editAs="oneCell">
    <xdr:from>
      <xdr:col>2</xdr:col>
      <xdr:colOff>581025</xdr:colOff>
      <xdr:row>4</xdr:row>
      <xdr:rowOff>160020</xdr:rowOff>
    </xdr:from>
    <xdr:to>
      <xdr:col>17</xdr:col>
      <xdr:colOff>594360</xdr:colOff>
      <xdr:row>7</xdr:row>
      <xdr:rowOff>38100</xdr:rowOff>
    </xdr:to>
    <mc:AlternateContent xmlns:mc="http://schemas.openxmlformats.org/markup-compatibility/2006" xmlns:a14="http://schemas.microsoft.com/office/drawing/2010/main">
      <mc:Choice Requires="a14">
        <xdr:graphicFrame macro="">
          <xdr:nvGraphicFramePr>
            <xdr:cNvPr id="47" name="Purchase Date (Month) 1">
              <a:extLst>
                <a:ext uri="{FF2B5EF4-FFF2-40B4-BE49-F238E27FC236}">
                  <a16:creationId xmlns:a16="http://schemas.microsoft.com/office/drawing/2014/main" id="{E03F2F17-1A0F-402F-BA94-34779C646A07}"/>
                </a:ext>
              </a:extLst>
            </xdr:cNvPr>
            <xdr:cNvGraphicFramePr/>
          </xdr:nvGraphicFramePr>
          <xdr:xfrm>
            <a:off x="0" y="0"/>
            <a:ext cx="0" cy="0"/>
          </xdr:xfrm>
          <a:graphic>
            <a:graphicData uri="http://schemas.microsoft.com/office/drawing/2010/slicer">
              <sle:slicer xmlns:sle="http://schemas.microsoft.com/office/drawing/2010/slicer" name="Purchase Date (Month) 1"/>
            </a:graphicData>
          </a:graphic>
        </xdr:graphicFrame>
      </mc:Choice>
      <mc:Fallback xmlns="">
        <xdr:sp macro="" textlink="">
          <xdr:nvSpPr>
            <xdr:cNvPr id="0" name=""/>
            <xdr:cNvSpPr>
              <a:spLocks noTextEdit="1"/>
            </xdr:cNvSpPr>
          </xdr:nvSpPr>
          <xdr:spPr>
            <a:xfrm>
              <a:off x="1800225" y="975360"/>
              <a:ext cx="9157335" cy="426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22860</xdr:colOff>
      <xdr:row>12</xdr:row>
      <xdr:rowOff>152400</xdr:rowOff>
    </xdr:from>
    <xdr:to>
      <xdr:col>6</xdr:col>
      <xdr:colOff>333756</xdr:colOff>
      <xdr:row>35</xdr:row>
      <xdr:rowOff>167640</xdr:rowOff>
    </xdr:to>
    <xdr:sp macro="" textlink="">
      <xdr:nvSpPr>
        <xdr:cNvPr id="3" name="Rectangle: Rounded Corners 2">
          <a:extLst>
            <a:ext uri="{FF2B5EF4-FFF2-40B4-BE49-F238E27FC236}">
              <a16:creationId xmlns:a16="http://schemas.microsoft.com/office/drawing/2014/main" id="{0B6279C7-F8BD-4158-A5ED-2B14B09F46A8}"/>
            </a:ext>
          </a:extLst>
        </xdr:cNvPr>
        <xdr:cNvSpPr/>
      </xdr:nvSpPr>
      <xdr:spPr>
        <a:xfrm>
          <a:off x="1851660" y="2430780"/>
          <a:ext cx="2139696" cy="4221480"/>
        </a:xfrm>
        <a:prstGeom prst="roundRect">
          <a:avLst>
            <a:gd name="adj" fmla="val 4702"/>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377685</xdr:colOff>
      <xdr:row>12</xdr:row>
      <xdr:rowOff>137655</xdr:rowOff>
    </xdr:from>
    <xdr:to>
      <xdr:col>6</xdr:col>
      <xdr:colOff>42405</xdr:colOff>
      <xdr:row>14</xdr:row>
      <xdr:rowOff>70980</xdr:rowOff>
    </xdr:to>
    <xdr:sp macro="" textlink="">
      <xdr:nvSpPr>
        <xdr:cNvPr id="4" name="TextBox 3">
          <a:extLst>
            <a:ext uri="{FF2B5EF4-FFF2-40B4-BE49-F238E27FC236}">
              <a16:creationId xmlns:a16="http://schemas.microsoft.com/office/drawing/2014/main" id="{4D967DFA-E2B4-45C9-9786-C02F5420A1DE}"/>
            </a:ext>
          </a:extLst>
        </xdr:cNvPr>
        <xdr:cNvSpPr txBox="1"/>
      </xdr:nvSpPr>
      <xdr:spPr>
        <a:xfrm>
          <a:off x="2206485" y="2416035"/>
          <a:ext cx="1493520"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Yearly</a:t>
          </a:r>
          <a:r>
            <a:rPr lang="en-US" sz="1100" b="1" i="1" baseline="0">
              <a:solidFill>
                <a:schemeClr val="tx1">
                  <a:lumMod val="85000"/>
                  <a:lumOff val="15000"/>
                </a:schemeClr>
              </a:solidFill>
            </a:rPr>
            <a:t> p</a:t>
          </a:r>
          <a:r>
            <a:rPr lang="en-US" sz="1100" b="1" i="1">
              <a:solidFill>
                <a:schemeClr val="tx1">
                  <a:lumMod val="85000"/>
                  <a:lumOff val="15000"/>
                </a:schemeClr>
              </a:solidFill>
            </a:rPr>
            <a:t>rofit</a:t>
          </a:r>
          <a:r>
            <a:rPr lang="en-US" sz="1100" b="1" i="1" baseline="0">
              <a:solidFill>
                <a:schemeClr val="tx1">
                  <a:lumMod val="85000"/>
                  <a:lumOff val="15000"/>
                </a:schemeClr>
              </a:solidFill>
            </a:rPr>
            <a:t> analysis</a:t>
          </a:r>
          <a:endParaRPr lang="en-US" sz="1100" b="1" i="1">
            <a:solidFill>
              <a:schemeClr val="tx1">
                <a:lumMod val="85000"/>
                <a:lumOff val="15000"/>
              </a:schemeClr>
            </a:solidFill>
          </a:endParaRPr>
        </a:p>
      </xdr:txBody>
    </xdr:sp>
    <xdr:clientData/>
  </xdr:twoCellAnchor>
  <xdr:twoCellAnchor editAs="absolute">
    <xdr:from>
      <xdr:col>3</xdr:col>
      <xdr:colOff>22860</xdr:colOff>
      <xdr:row>12</xdr:row>
      <xdr:rowOff>144780</xdr:rowOff>
    </xdr:from>
    <xdr:to>
      <xdr:col>3</xdr:col>
      <xdr:colOff>422910</xdr:colOff>
      <xdr:row>14</xdr:row>
      <xdr:rowOff>163830</xdr:rowOff>
    </xdr:to>
    <xdr:pic>
      <xdr:nvPicPr>
        <xdr:cNvPr id="18" name="Graphic 17" descr="Monthly calendar">
          <a:extLst>
            <a:ext uri="{FF2B5EF4-FFF2-40B4-BE49-F238E27FC236}">
              <a16:creationId xmlns:a16="http://schemas.microsoft.com/office/drawing/2014/main" id="{859D8104-40CC-4A03-BBC7-A9BF9814E24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851660" y="2423160"/>
          <a:ext cx="400050" cy="384810"/>
        </a:xfrm>
        <a:prstGeom prst="rect">
          <a:avLst/>
        </a:prstGeom>
      </xdr:spPr>
    </xdr:pic>
    <xdr:clientData/>
  </xdr:twoCellAnchor>
  <xdr:twoCellAnchor>
    <xdr:from>
      <xdr:col>3</xdr:col>
      <xdr:colOff>163407</xdr:colOff>
      <xdr:row>20</xdr:row>
      <xdr:rowOff>17476</xdr:rowOff>
    </xdr:from>
    <xdr:to>
      <xdr:col>6</xdr:col>
      <xdr:colOff>145119</xdr:colOff>
      <xdr:row>27</xdr:row>
      <xdr:rowOff>112642</xdr:rowOff>
    </xdr:to>
    <xdr:graphicFrame macro="">
      <xdr:nvGraphicFramePr>
        <xdr:cNvPr id="19" name="Chart 18">
          <a:extLst>
            <a:ext uri="{FF2B5EF4-FFF2-40B4-BE49-F238E27FC236}">
              <a16:creationId xmlns:a16="http://schemas.microsoft.com/office/drawing/2014/main" id="{661B944E-48FE-4EC6-BFBB-2C837F3F0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31326</xdr:colOff>
      <xdr:row>28</xdr:row>
      <xdr:rowOff>52491</xdr:rowOff>
    </xdr:from>
    <xdr:to>
      <xdr:col>4</xdr:col>
      <xdr:colOff>473286</xdr:colOff>
      <xdr:row>33</xdr:row>
      <xdr:rowOff>154430</xdr:rowOff>
    </xdr:to>
    <xdr:graphicFrame macro="">
      <xdr:nvGraphicFramePr>
        <xdr:cNvPr id="20" name="Chart 19">
          <a:extLst>
            <a:ext uri="{FF2B5EF4-FFF2-40B4-BE49-F238E27FC236}">
              <a16:creationId xmlns:a16="http://schemas.microsoft.com/office/drawing/2014/main" id="{55941AD6-2066-401E-BF54-6704EB06C1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496993</xdr:colOff>
      <xdr:row>28</xdr:row>
      <xdr:rowOff>60958</xdr:rowOff>
    </xdr:from>
    <xdr:to>
      <xdr:col>6</xdr:col>
      <xdr:colOff>329353</xdr:colOff>
      <xdr:row>33</xdr:row>
      <xdr:rowOff>162897</xdr:rowOff>
    </xdr:to>
    <xdr:graphicFrame macro="">
      <xdr:nvGraphicFramePr>
        <xdr:cNvPr id="21" name="Chart 20">
          <a:extLst>
            <a:ext uri="{FF2B5EF4-FFF2-40B4-BE49-F238E27FC236}">
              <a16:creationId xmlns:a16="http://schemas.microsoft.com/office/drawing/2014/main" id="{A6EF83E1-1D4C-4372-BB83-7806115415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3</xdr:col>
      <xdr:colOff>90595</xdr:colOff>
      <xdr:row>14</xdr:row>
      <xdr:rowOff>78740</xdr:rowOff>
    </xdr:from>
    <xdr:to>
      <xdr:col>3</xdr:col>
      <xdr:colOff>440267</xdr:colOff>
      <xdr:row>16</xdr:row>
      <xdr:rowOff>16298</xdr:rowOff>
    </xdr:to>
    <xdr:sp macro="" textlink="Analysis!D6">
      <xdr:nvSpPr>
        <xdr:cNvPr id="22" name="TextBox 21">
          <a:extLst>
            <a:ext uri="{FF2B5EF4-FFF2-40B4-BE49-F238E27FC236}">
              <a16:creationId xmlns:a16="http://schemas.microsoft.com/office/drawing/2014/main" id="{27A089AC-5576-4749-B011-BB3D40905D7E}"/>
            </a:ext>
          </a:extLst>
        </xdr:cNvPr>
        <xdr:cNvSpPr txBox="1"/>
      </xdr:nvSpPr>
      <xdr:spPr>
        <a:xfrm>
          <a:off x="1919395" y="2770293"/>
          <a:ext cx="349672"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3</xdr:col>
      <xdr:colOff>90595</xdr:colOff>
      <xdr:row>17</xdr:row>
      <xdr:rowOff>70276</xdr:rowOff>
    </xdr:from>
    <xdr:to>
      <xdr:col>3</xdr:col>
      <xdr:colOff>440267</xdr:colOff>
      <xdr:row>19</xdr:row>
      <xdr:rowOff>7834</xdr:rowOff>
    </xdr:to>
    <xdr:sp macro="" textlink="Analysis!D6">
      <xdr:nvSpPr>
        <xdr:cNvPr id="39" name="TextBox 38">
          <a:extLst>
            <a:ext uri="{FF2B5EF4-FFF2-40B4-BE49-F238E27FC236}">
              <a16:creationId xmlns:a16="http://schemas.microsoft.com/office/drawing/2014/main" id="{6E71F4CD-9B84-4E73-B977-A495F6B28CC0}"/>
            </a:ext>
          </a:extLst>
        </xdr:cNvPr>
        <xdr:cNvSpPr txBox="1"/>
      </xdr:nvSpPr>
      <xdr:spPr>
        <a:xfrm>
          <a:off x="1919395" y="3320629"/>
          <a:ext cx="349672"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3</xdr:col>
      <xdr:colOff>90595</xdr:colOff>
      <xdr:row>15</xdr:row>
      <xdr:rowOff>176950</xdr:rowOff>
    </xdr:from>
    <xdr:to>
      <xdr:col>3</xdr:col>
      <xdr:colOff>440267</xdr:colOff>
      <xdr:row>17</xdr:row>
      <xdr:rowOff>114509</xdr:rowOff>
    </xdr:to>
    <xdr:sp macro="" textlink="Analysis!D6">
      <xdr:nvSpPr>
        <xdr:cNvPr id="49" name="TextBox 48">
          <a:extLst>
            <a:ext uri="{FF2B5EF4-FFF2-40B4-BE49-F238E27FC236}">
              <a16:creationId xmlns:a16="http://schemas.microsoft.com/office/drawing/2014/main" id="{068FFDF9-30C1-4B02-835F-78208C7D7B0F}"/>
            </a:ext>
          </a:extLst>
        </xdr:cNvPr>
        <xdr:cNvSpPr txBox="1"/>
      </xdr:nvSpPr>
      <xdr:spPr>
        <a:xfrm>
          <a:off x="1919395" y="3058157"/>
          <a:ext cx="349672"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3</xdr:col>
      <xdr:colOff>269940</xdr:colOff>
      <xdr:row>14</xdr:row>
      <xdr:rowOff>87203</xdr:rowOff>
    </xdr:from>
    <xdr:to>
      <xdr:col>4</xdr:col>
      <xdr:colOff>230144</xdr:colOff>
      <xdr:row>16</xdr:row>
      <xdr:rowOff>24761</xdr:rowOff>
    </xdr:to>
    <xdr:sp macro="" textlink="Analysis!D9">
      <xdr:nvSpPr>
        <xdr:cNvPr id="50" name="TextBox 49">
          <a:extLst>
            <a:ext uri="{FF2B5EF4-FFF2-40B4-BE49-F238E27FC236}">
              <a16:creationId xmlns:a16="http://schemas.microsoft.com/office/drawing/2014/main" id="{4A4EA1C1-556C-435C-8511-C9105A02F1A6}"/>
            </a:ext>
          </a:extLst>
        </xdr:cNvPr>
        <xdr:cNvSpPr txBox="1"/>
      </xdr:nvSpPr>
      <xdr:spPr>
        <a:xfrm>
          <a:off x="2098740" y="2692550"/>
          <a:ext cx="569804"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A3699A0-0AEC-4BE1-958D-13C5498312DD}" type="TxLink">
            <a:rPr lang="en-US" sz="1200" b="1" i="1" u="none" strike="noStrike">
              <a:solidFill>
                <a:srgbClr val="21C587"/>
              </a:solidFill>
              <a:latin typeface="Aptos Narrow"/>
              <a:ea typeface="+mn-ea"/>
              <a:cs typeface="Arial"/>
            </a:rPr>
            <a:pPr marL="0" indent="0"/>
            <a:t>2019</a:t>
          </a:fld>
          <a:endParaRPr lang="en-US" sz="4000" b="1" i="1" u="none" strike="noStrike">
            <a:solidFill>
              <a:srgbClr val="21C587"/>
            </a:solidFill>
            <a:latin typeface="Aptos Narrow"/>
            <a:ea typeface="+mn-ea"/>
            <a:cs typeface="+mn-cs"/>
          </a:endParaRPr>
        </a:p>
      </xdr:txBody>
    </xdr:sp>
    <xdr:clientData/>
  </xdr:twoCellAnchor>
  <xdr:twoCellAnchor editAs="absolute">
    <xdr:from>
      <xdr:col>3</xdr:col>
      <xdr:colOff>269939</xdr:colOff>
      <xdr:row>16</xdr:row>
      <xdr:rowOff>2535</xdr:rowOff>
    </xdr:from>
    <xdr:to>
      <xdr:col>4</xdr:col>
      <xdr:colOff>230143</xdr:colOff>
      <xdr:row>17</xdr:row>
      <xdr:rowOff>122974</xdr:rowOff>
    </xdr:to>
    <xdr:sp macro="" textlink="Analysis!D10">
      <xdr:nvSpPr>
        <xdr:cNvPr id="51" name="TextBox 50">
          <a:extLst>
            <a:ext uri="{FF2B5EF4-FFF2-40B4-BE49-F238E27FC236}">
              <a16:creationId xmlns:a16="http://schemas.microsoft.com/office/drawing/2014/main" id="{4DE7589D-5DC4-4E1B-89C5-F27C782B9C02}"/>
            </a:ext>
          </a:extLst>
        </xdr:cNvPr>
        <xdr:cNvSpPr txBox="1"/>
      </xdr:nvSpPr>
      <xdr:spPr>
        <a:xfrm>
          <a:off x="2098739" y="2968100"/>
          <a:ext cx="569804" cy="297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7F6C7D0-F9D9-451E-8D35-7F767250C347}" type="TxLink">
            <a:rPr lang="en-US" sz="1200" b="1" i="1" u="none" strike="noStrike">
              <a:solidFill>
                <a:srgbClr val="21C587"/>
              </a:solidFill>
              <a:latin typeface="Aptos Narrow"/>
              <a:ea typeface="+mn-ea"/>
              <a:cs typeface="Arial"/>
            </a:rPr>
            <a:pPr marL="0" indent="0"/>
            <a:t>2020</a:t>
          </a:fld>
          <a:endParaRPr lang="en-US" sz="4000" b="1" i="1" u="none" strike="noStrike">
            <a:solidFill>
              <a:srgbClr val="21C587"/>
            </a:solidFill>
            <a:latin typeface="Aptos Narrow"/>
            <a:ea typeface="+mn-ea"/>
            <a:cs typeface="+mn-cs"/>
          </a:endParaRPr>
        </a:p>
      </xdr:txBody>
    </xdr:sp>
    <xdr:clientData/>
  </xdr:twoCellAnchor>
  <xdr:twoCellAnchor editAs="absolute">
    <xdr:from>
      <xdr:col>3</xdr:col>
      <xdr:colOff>268397</xdr:colOff>
      <xdr:row>17</xdr:row>
      <xdr:rowOff>87210</xdr:rowOff>
    </xdr:from>
    <xdr:to>
      <xdr:col>4</xdr:col>
      <xdr:colOff>228601</xdr:colOff>
      <xdr:row>19</xdr:row>
      <xdr:rowOff>24768</xdr:rowOff>
    </xdr:to>
    <xdr:sp macro="" textlink="Analysis!D11">
      <xdr:nvSpPr>
        <xdr:cNvPr id="52" name="TextBox 51">
          <a:extLst>
            <a:ext uri="{FF2B5EF4-FFF2-40B4-BE49-F238E27FC236}">
              <a16:creationId xmlns:a16="http://schemas.microsoft.com/office/drawing/2014/main" id="{94AA1851-AFED-4D97-951C-375963EDCD42}"/>
            </a:ext>
          </a:extLst>
        </xdr:cNvPr>
        <xdr:cNvSpPr txBox="1"/>
      </xdr:nvSpPr>
      <xdr:spPr>
        <a:xfrm>
          <a:off x="2097197" y="3232885"/>
          <a:ext cx="569804"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01A90BE-F487-4836-9915-4E2F24901A4E}" type="TxLink">
            <a:rPr lang="en-US" sz="1200" b="1" i="1" u="none" strike="noStrike">
              <a:solidFill>
                <a:srgbClr val="21C587"/>
              </a:solidFill>
              <a:latin typeface="Aptos Narrow"/>
              <a:ea typeface="+mn-ea"/>
              <a:cs typeface="Arial"/>
            </a:rPr>
            <a:pPr marL="0" indent="0"/>
            <a:t>2021</a:t>
          </a:fld>
          <a:endParaRPr lang="en-US" sz="4000" b="1" i="1" u="none" strike="noStrike">
            <a:solidFill>
              <a:srgbClr val="21C587"/>
            </a:solidFill>
            <a:latin typeface="Aptos Narrow"/>
            <a:ea typeface="+mn-ea"/>
            <a:cs typeface="+mn-cs"/>
          </a:endParaRPr>
        </a:p>
      </xdr:txBody>
    </xdr:sp>
    <xdr:clientData/>
  </xdr:twoCellAnchor>
  <xdr:twoCellAnchor editAs="absolute">
    <xdr:from>
      <xdr:col>4</xdr:col>
      <xdr:colOff>192193</xdr:colOff>
      <xdr:row>14</xdr:row>
      <xdr:rowOff>78738</xdr:rowOff>
    </xdr:from>
    <xdr:to>
      <xdr:col>5</xdr:col>
      <xdr:colOff>581891</xdr:colOff>
      <xdr:row>16</xdr:row>
      <xdr:rowOff>16296</xdr:rowOff>
    </xdr:to>
    <xdr:sp macro="" textlink="Analysis!I9">
      <xdr:nvSpPr>
        <xdr:cNvPr id="53" name="TextBox 52">
          <a:extLst>
            <a:ext uri="{FF2B5EF4-FFF2-40B4-BE49-F238E27FC236}">
              <a16:creationId xmlns:a16="http://schemas.microsoft.com/office/drawing/2014/main" id="{1ED0D0F2-B8AB-405D-A82E-7C6E4EF4CB63}"/>
            </a:ext>
          </a:extLst>
        </xdr:cNvPr>
        <xdr:cNvSpPr txBox="1"/>
      </xdr:nvSpPr>
      <xdr:spPr>
        <a:xfrm>
          <a:off x="2630593" y="2684085"/>
          <a:ext cx="999298"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064906B6-E989-415D-9D3E-46096ED9D40F}" type="TxLink">
            <a:rPr lang="en-US" sz="1200" b="1" i="0" u="none" strike="noStrike">
              <a:solidFill>
                <a:schemeClr val="bg2">
                  <a:lumMod val="50000"/>
                </a:schemeClr>
              </a:solidFill>
              <a:latin typeface="Aptos Narrow"/>
              <a:ea typeface="+mn-ea"/>
              <a:cs typeface="Arial"/>
            </a:rPr>
            <a:pPr marL="0" indent="0"/>
            <a:t>$1,521</a:t>
          </a:fld>
          <a:endParaRPr lang="en-US" sz="4000" b="1" i="0" u="none" strike="noStrike">
            <a:solidFill>
              <a:schemeClr val="bg2">
                <a:lumMod val="50000"/>
              </a:schemeClr>
            </a:solidFill>
            <a:latin typeface="Aptos Narrow"/>
            <a:ea typeface="+mn-ea"/>
            <a:cs typeface="+mn-cs"/>
          </a:endParaRPr>
        </a:p>
      </xdr:txBody>
    </xdr:sp>
    <xdr:clientData/>
  </xdr:twoCellAnchor>
  <xdr:twoCellAnchor editAs="absolute">
    <xdr:from>
      <xdr:col>4</xdr:col>
      <xdr:colOff>192193</xdr:colOff>
      <xdr:row>15</xdr:row>
      <xdr:rowOff>176950</xdr:rowOff>
    </xdr:from>
    <xdr:to>
      <xdr:col>6</xdr:col>
      <xdr:colOff>69273</xdr:colOff>
      <xdr:row>17</xdr:row>
      <xdr:rowOff>114509</xdr:rowOff>
    </xdr:to>
    <xdr:sp macro="" textlink="Analysis!I10">
      <xdr:nvSpPr>
        <xdr:cNvPr id="54" name="TextBox 53">
          <a:extLst>
            <a:ext uri="{FF2B5EF4-FFF2-40B4-BE49-F238E27FC236}">
              <a16:creationId xmlns:a16="http://schemas.microsoft.com/office/drawing/2014/main" id="{3AB47ACD-B451-46C4-850A-651E08E67759}"/>
            </a:ext>
          </a:extLst>
        </xdr:cNvPr>
        <xdr:cNvSpPr txBox="1"/>
      </xdr:nvSpPr>
      <xdr:spPr>
        <a:xfrm>
          <a:off x="2630593" y="2959635"/>
          <a:ext cx="1096280" cy="297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76A9761-AEDA-4A5B-A606-B48BE7B327D8}" type="TxLink">
            <a:rPr lang="en-US" sz="1200" b="1" i="0" u="none" strike="noStrike">
              <a:solidFill>
                <a:schemeClr val="bg2">
                  <a:lumMod val="50000"/>
                </a:schemeClr>
              </a:solidFill>
              <a:latin typeface="Aptos Narrow"/>
              <a:ea typeface="+mn-ea"/>
              <a:cs typeface="Arial"/>
            </a:rPr>
            <a:pPr marL="0" indent="0"/>
            <a:t>$3,042</a:t>
          </a:fld>
          <a:endParaRPr lang="en-US" sz="4000" b="1" i="0" u="none" strike="noStrike">
            <a:solidFill>
              <a:schemeClr val="bg2">
                <a:lumMod val="50000"/>
              </a:schemeClr>
            </a:solidFill>
            <a:latin typeface="Aptos Narrow"/>
            <a:ea typeface="+mn-ea"/>
            <a:cs typeface="+mn-cs"/>
          </a:endParaRPr>
        </a:p>
      </xdr:txBody>
    </xdr:sp>
    <xdr:clientData/>
  </xdr:twoCellAnchor>
  <xdr:twoCellAnchor editAs="absolute">
    <xdr:from>
      <xdr:col>4</xdr:col>
      <xdr:colOff>183723</xdr:colOff>
      <xdr:row>17</xdr:row>
      <xdr:rowOff>78745</xdr:rowOff>
    </xdr:from>
    <xdr:to>
      <xdr:col>6</xdr:col>
      <xdr:colOff>62345</xdr:colOff>
      <xdr:row>19</xdr:row>
      <xdr:rowOff>16303</xdr:rowOff>
    </xdr:to>
    <xdr:sp macro="" textlink="Analysis!I11">
      <xdr:nvSpPr>
        <xdr:cNvPr id="55" name="TextBox 54">
          <a:extLst>
            <a:ext uri="{FF2B5EF4-FFF2-40B4-BE49-F238E27FC236}">
              <a16:creationId xmlns:a16="http://schemas.microsoft.com/office/drawing/2014/main" id="{C5CD278D-0687-40EA-9FA7-4B30AF70D5F2}"/>
            </a:ext>
          </a:extLst>
        </xdr:cNvPr>
        <xdr:cNvSpPr txBox="1"/>
      </xdr:nvSpPr>
      <xdr:spPr>
        <a:xfrm>
          <a:off x="2622123" y="3224420"/>
          <a:ext cx="1097822"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9E90C88-8633-4DD3-B3BA-36159B5E7B71}" type="TxLink">
            <a:rPr lang="en-US" sz="1200" b="1" i="0" u="none" strike="noStrike">
              <a:solidFill>
                <a:schemeClr val="bg2">
                  <a:lumMod val="50000"/>
                </a:schemeClr>
              </a:solidFill>
              <a:latin typeface="Aptos Narrow"/>
              <a:ea typeface="+mn-ea"/>
              <a:cs typeface="Arial"/>
            </a:rPr>
            <a:pPr marL="0" indent="0"/>
            <a:t>$2,028</a:t>
          </a:fld>
          <a:endParaRPr lang="en-US" sz="4000" b="1" i="0" u="none" strike="noStrike">
            <a:solidFill>
              <a:schemeClr val="bg2">
                <a:lumMod val="50000"/>
              </a:schemeClr>
            </a:solidFill>
            <a:latin typeface="Aptos Narrow"/>
            <a:ea typeface="+mn-ea"/>
            <a:cs typeface="+mn-cs"/>
          </a:endParaRPr>
        </a:p>
      </xdr:txBody>
    </xdr:sp>
    <xdr:clientData/>
  </xdr:twoCellAnchor>
  <xdr:twoCellAnchor editAs="absolute">
    <xdr:from>
      <xdr:col>4</xdr:col>
      <xdr:colOff>363679</xdr:colOff>
      <xdr:row>26</xdr:row>
      <xdr:rowOff>40878</xdr:rowOff>
    </xdr:from>
    <xdr:to>
      <xdr:col>6</xdr:col>
      <xdr:colOff>26494</xdr:colOff>
      <xdr:row>27</xdr:row>
      <xdr:rowOff>170244</xdr:rowOff>
    </xdr:to>
    <xdr:sp macro="" textlink="">
      <xdr:nvSpPr>
        <xdr:cNvPr id="56" name="TextBox 55">
          <a:extLst>
            <a:ext uri="{FF2B5EF4-FFF2-40B4-BE49-F238E27FC236}">
              <a16:creationId xmlns:a16="http://schemas.microsoft.com/office/drawing/2014/main" id="{BF082A94-734A-439E-8A73-CC9DBD005CE6}"/>
            </a:ext>
          </a:extLst>
        </xdr:cNvPr>
        <xdr:cNvSpPr txBox="1"/>
      </xdr:nvSpPr>
      <xdr:spPr>
        <a:xfrm>
          <a:off x="2802079" y="4807534"/>
          <a:ext cx="882015"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3</xdr:col>
      <xdr:colOff>313803</xdr:colOff>
      <xdr:row>32</xdr:row>
      <xdr:rowOff>78287</xdr:rowOff>
    </xdr:from>
    <xdr:to>
      <xdr:col>4</xdr:col>
      <xdr:colOff>586218</xdr:colOff>
      <xdr:row>34</xdr:row>
      <xdr:rowOff>17154</xdr:rowOff>
    </xdr:to>
    <xdr:sp macro="" textlink="">
      <xdr:nvSpPr>
        <xdr:cNvPr id="57" name="TextBox 56">
          <a:extLst>
            <a:ext uri="{FF2B5EF4-FFF2-40B4-BE49-F238E27FC236}">
              <a16:creationId xmlns:a16="http://schemas.microsoft.com/office/drawing/2014/main" id="{213F535F-6D19-4350-8EB6-69ED025CCAD2}"/>
            </a:ext>
          </a:extLst>
        </xdr:cNvPr>
        <xdr:cNvSpPr txBox="1"/>
      </xdr:nvSpPr>
      <xdr:spPr>
        <a:xfrm>
          <a:off x="2142603" y="5925598"/>
          <a:ext cx="882015"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5</xdr:col>
      <xdr:colOff>134733</xdr:colOff>
      <xdr:row>32</xdr:row>
      <xdr:rowOff>78287</xdr:rowOff>
    </xdr:from>
    <xdr:to>
      <xdr:col>6</xdr:col>
      <xdr:colOff>407148</xdr:colOff>
      <xdr:row>34</xdr:row>
      <xdr:rowOff>17154</xdr:rowOff>
    </xdr:to>
    <xdr:sp macro="" textlink="">
      <xdr:nvSpPr>
        <xdr:cNvPr id="58" name="TextBox 57">
          <a:extLst>
            <a:ext uri="{FF2B5EF4-FFF2-40B4-BE49-F238E27FC236}">
              <a16:creationId xmlns:a16="http://schemas.microsoft.com/office/drawing/2014/main" id="{D2DFE279-63CD-442F-B873-D2321CF1EE16}"/>
            </a:ext>
          </a:extLst>
        </xdr:cNvPr>
        <xdr:cNvSpPr txBox="1"/>
      </xdr:nvSpPr>
      <xdr:spPr>
        <a:xfrm>
          <a:off x="3182733" y="5925598"/>
          <a:ext cx="882015"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3</xdr:col>
      <xdr:colOff>588599</xdr:colOff>
      <xdr:row>26</xdr:row>
      <xdr:rowOff>45641</xdr:rowOff>
    </xdr:from>
    <xdr:to>
      <xdr:col>4</xdr:col>
      <xdr:colOff>548803</xdr:colOff>
      <xdr:row>27</xdr:row>
      <xdr:rowOff>166078</xdr:rowOff>
    </xdr:to>
    <xdr:sp macro="" textlink="Analysis!D9">
      <xdr:nvSpPr>
        <xdr:cNvPr id="59" name="TextBox 58">
          <a:extLst>
            <a:ext uri="{FF2B5EF4-FFF2-40B4-BE49-F238E27FC236}">
              <a16:creationId xmlns:a16="http://schemas.microsoft.com/office/drawing/2014/main" id="{A04B8F9D-E891-4853-BBED-BECC392CCF0D}"/>
            </a:ext>
          </a:extLst>
        </xdr:cNvPr>
        <xdr:cNvSpPr txBox="1"/>
      </xdr:nvSpPr>
      <xdr:spPr>
        <a:xfrm>
          <a:off x="2417399" y="4812297"/>
          <a:ext cx="569804"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A3699A0-0AEC-4BE1-958D-13C5498312DD}" type="TxLink">
            <a:rPr lang="en-US" sz="1200" b="1" i="1" u="none" strike="noStrike">
              <a:solidFill>
                <a:srgbClr val="21C587"/>
              </a:solidFill>
              <a:latin typeface="Aptos Narrow"/>
              <a:ea typeface="+mn-ea"/>
              <a:cs typeface="Arial"/>
            </a:rPr>
            <a:pPr marL="0" indent="0"/>
            <a:t>2019</a:t>
          </a:fld>
          <a:endParaRPr lang="en-US" sz="4000" b="1" i="1" u="none" strike="noStrike">
            <a:solidFill>
              <a:srgbClr val="21C587"/>
            </a:solidFill>
            <a:latin typeface="Aptos Narrow"/>
            <a:ea typeface="+mn-ea"/>
            <a:cs typeface="+mn-cs"/>
          </a:endParaRPr>
        </a:p>
      </xdr:txBody>
    </xdr:sp>
    <xdr:clientData/>
  </xdr:twoCellAnchor>
  <xdr:twoCellAnchor editAs="absolute">
    <xdr:from>
      <xdr:col>3</xdr:col>
      <xdr:colOff>103910</xdr:colOff>
      <xdr:row>32</xdr:row>
      <xdr:rowOff>75508</xdr:rowOff>
    </xdr:from>
    <xdr:to>
      <xdr:col>4</xdr:col>
      <xdr:colOff>64114</xdr:colOff>
      <xdr:row>34</xdr:row>
      <xdr:rowOff>13068</xdr:rowOff>
    </xdr:to>
    <xdr:sp macro="" textlink="Analysis!D10">
      <xdr:nvSpPr>
        <xdr:cNvPr id="60" name="TextBox 59">
          <a:extLst>
            <a:ext uri="{FF2B5EF4-FFF2-40B4-BE49-F238E27FC236}">
              <a16:creationId xmlns:a16="http://schemas.microsoft.com/office/drawing/2014/main" id="{13913EB8-4A13-4021-BA7D-0D4939FAC9C5}"/>
            </a:ext>
          </a:extLst>
        </xdr:cNvPr>
        <xdr:cNvSpPr txBox="1"/>
      </xdr:nvSpPr>
      <xdr:spPr>
        <a:xfrm>
          <a:off x="1932710" y="5922819"/>
          <a:ext cx="569804" cy="297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7F6C7D0-F9D9-451E-8D35-7F767250C347}" type="TxLink">
            <a:rPr lang="en-US" sz="1200" b="1" i="1" u="none" strike="noStrike">
              <a:solidFill>
                <a:srgbClr val="21C587"/>
              </a:solidFill>
              <a:latin typeface="Aptos Narrow"/>
              <a:ea typeface="+mn-ea"/>
              <a:cs typeface="Arial"/>
            </a:rPr>
            <a:pPr marL="0" indent="0"/>
            <a:t>2020</a:t>
          </a:fld>
          <a:endParaRPr lang="en-US" sz="4000" b="1" i="1" u="none" strike="noStrike">
            <a:solidFill>
              <a:srgbClr val="21C587"/>
            </a:solidFill>
            <a:latin typeface="Aptos Narrow"/>
            <a:ea typeface="+mn-ea"/>
            <a:cs typeface="+mn-cs"/>
          </a:endParaRPr>
        </a:p>
      </xdr:txBody>
    </xdr:sp>
    <xdr:clientData/>
  </xdr:twoCellAnchor>
  <xdr:twoCellAnchor editAs="absolute">
    <xdr:from>
      <xdr:col>4</xdr:col>
      <xdr:colOff>526473</xdr:colOff>
      <xdr:row>32</xdr:row>
      <xdr:rowOff>82434</xdr:rowOff>
    </xdr:from>
    <xdr:to>
      <xdr:col>5</xdr:col>
      <xdr:colOff>486677</xdr:colOff>
      <xdr:row>34</xdr:row>
      <xdr:rowOff>19992</xdr:rowOff>
    </xdr:to>
    <xdr:sp macro="" textlink="Analysis!D11">
      <xdr:nvSpPr>
        <xdr:cNvPr id="61" name="TextBox 60">
          <a:extLst>
            <a:ext uri="{FF2B5EF4-FFF2-40B4-BE49-F238E27FC236}">
              <a16:creationId xmlns:a16="http://schemas.microsoft.com/office/drawing/2014/main" id="{63695E37-25FB-490B-84B5-246D577EF105}"/>
            </a:ext>
          </a:extLst>
        </xdr:cNvPr>
        <xdr:cNvSpPr txBox="1"/>
      </xdr:nvSpPr>
      <xdr:spPr>
        <a:xfrm>
          <a:off x="2964873" y="5929745"/>
          <a:ext cx="569804"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01A90BE-F487-4836-9915-4E2F24901A4E}" type="TxLink">
            <a:rPr lang="en-US" sz="1200" b="1" i="1" u="none" strike="noStrike">
              <a:solidFill>
                <a:srgbClr val="21C587"/>
              </a:solidFill>
              <a:latin typeface="Aptos Narrow"/>
              <a:ea typeface="+mn-ea"/>
              <a:cs typeface="Arial"/>
            </a:rPr>
            <a:pPr marL="0" indent="0"/>
            <a:t>2021</a:t>
          </a:fld>
          <a:endParaRPr lang="en-US" sz="4000" b="1" i="1" u="none" strike="noStrike">
            <a:solidFill>
              <a:srgbClr val="21C587"/>
            </a:solidFill>
            <a:latin typeface="Aptos Narrow"/>
            <a:ea typeface="+mn-ea"/>
            <a:cs typeface="+mn-cs"/>
          </a:endParaRPr>
        </a:p>
      </xdr:txBody>
    </xdr:sp>
    <xdr:clientData/>
  </xdr:twoCellAnchor>
  <xdr:twoCellAnchor editAs="absolute">
    <xdr:from>
      <xdr:col>4</xdr:col>
      <xdr:colOff>13855</xdr:colOff>
      <xdr:row>22</xdr:row>
      <xdr:rowOff>61652</xdr:rowOff>
    </xdr:from>
    <xdr:to>
      <xdr:col>5</xdr:col>
      <xdr:colOff>381001</xdr:colOff>
      <xdr:row>24</xdr:row>
      <xdr:rowOff>112914</xdr:rowOff>
    </xdr:to>
    <xdr:sp macro="" textlink="Analysis!G9">
      <xdr:nvSpPr>
        <xdr:cNvPr id="62" name="TextBox 61">
          <a:extLst>
            <a:ext uri="{FF2B5EF4-FFF2-40B4-BE49-F238E27FC236}">
              <a16:creationId xmlns:a16="http://schemas.microsoft.com/office/drawing/2014/main" id="{4D564622-AC12-40FE-9A92-61A741C5E05A}"/>
            </a:ext>
          </a:extLst>
        </xdr:cNvPr>
        <xdr:cNvSpPr txBox="1"/>
      </xdr:nvSpPr>
      <xdr:spPr>
        <a:xfrm>
          <a:off x="2452255" y="4107872"/>
          <a:ext cx="976746" cy="40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406FBA7-69A2-462F-8D30-A422B49DABAF}" type="TxLink">
            <a:rPr lang="en-US" sz="2800" b="1" i="0" u="none" strike="noStrike">
              <a:solidFill>
                <a:srgbClr val="21C587"/>
              </a:solidFill>
              <a:latin typeface="Agency FB" panose="020B0503020202020204" pitchFamily="34" charset="0"/>
              <a:ea typeface="+mn-ea"/>
              <a:cs typeface="Arial"/>
            </a:rPr>
            <a:pPr marL="0" indent="0"/>
            <a:t>23.08%</a:t>
          </a:fld>
          <a:endParaRPr lang="en-US" sz="8000" b="1" i="1" u="none" strike="noStrike">
            <a:solidFill>
              <a:srgbClr val="21C587"/>
            </a:solidFill>
            <a:latin typeface="Agency FB" panose="020B0503020202020204" pitchFamily="34" charset="0"/>
            <a:ea typeface="+mn-ea"/>
            <a:cs typeface="+mn-cs"/>
          </a:endParaRPr>
        </a:p>
      </xdr:txBody>
    </xdr:sp>
    <xdr:clientData/>
  </xdr:twoCellAnchor>
  <xdr:twoCellAnchor editAs="absolute">
    <xdr:from>
      <xdr:col>3</xdr:col>
      <xdr:colOff>207817</xdr:colOff>
      <xdr:row>29</xdr:row>
      <xdr:rowOff>154476</xdr:rowOff>
    </xdr:from>
    <xdr:to>
      <xdr:col>4</xdr:col>
      <xdr:colOff>443345</xdr:colOff>
      <xdr:row>31</xdr:row>
      <xdr:rowOff>89263</xdr:rowOff>
    </xdr:to>
    <xdr:sp macro="" textlink="Analysis!G10">
      <xdr:nvSpPr>
        <xdr:cNvPr id="63" name="TextBox 62">
          <a:extLst>
            <a:ext uri="{FF2B5EF4-FFF2-40B4-BE49-F238E27FC236}">
              <a16:creationId xmlns:a16="http://schemas.microsoft.com/office/drawing/2014/main" id="{4CCFAD5F-149A-4F36-BB46-DDBA8C040F02}"/>
            </a:ext>
          </a:extLst>
        </xdr:cNvPr>
        <xdr:cNvSpPr txBox="1"/>
      </xdr:nvSpPr>
      <xdr:spPr>
        <a:xfrm>
          <a:off x="2036617" y="5458689"/>
          <a:ext cx="845128"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EBF472CF-331B-4E6D-92F8-E023448201EA}" type="TxLink">
            <a:rPr lang="en-US" sz="1600" b="1" i="0" u="none" strike="noStrike">
              <a:solidFill>
                <a:srgbClr val="21C587"/>
              </a:solidFill>
              <a:latin typeface="Agency FB" panose="020B0503020202020204" pitchFamily="34" charset="0"/>
              <a:ea typeface="+mn-ea"/>
              <a:cs typeface="Arial"/>
            </a:rPr>
            <a:pPr marL="0" indent="0"/>
            <a:t>46.15%</a:t>
          </a:fld>
          <a:endParaRPr lang="en-US" sz="1600" b="1" i="0" u="none" strike="noStrike">
            <a:solidFill>
              <a:srgbClr val="21C587"/>
            </a:solidFill>
            <a:latin typeface="Agency FB" panose="020B0503020202020204" pitchFamily="34" charset="0"/>
            <a:ea typeface="+mn-ea"/>
            <a:cs typeface="Arial"/>
          </a:endParaRPr>
        </a:p>
      </xdr:txBody>
    </xdr:sp>
    <xdr:clientData/>
  </xdr:twoCellAnchor>
  <xdr:twoCellAnchor editAs="absolute">
    <xdr:from>
      <xdr:col>5</xdr:col>
      <xdr:colOff>55418</xdr:colOff>
      <xdr:row>29</xdr:row>
      <xdr:rowOff>168332</xdr:rowOff>
    </xdr:from>
    <xdr:to>
      <xdr:col>6</xdr:col>
      <xdr:colOff>339436</xdr:colOff>
      <xdr:row>31</xdr:row>
      <xdr:rowOff>105890</xdr:rowOff>
    </xdr:to>
    <xdr:sp macro="" textlink="Analysis!G11">
      <xdr:nvSpPr>
        <xdr:cNvPr id="64" name="TextBox 63">
          <a:extLst>
            <a:ext uri="{FF2B5EF4-FFF2-40B4-BE49-F238E27FC236}">
              <a16:creationId xmlns:a16="http://schemas.microsoft.com/office/drawing/2014/main" id="{B56C5B03-BBEC-4038-BF3C-E9124362DE09}"/>
            </a:ext>
          </a:extLst>
        </xdr:cNvPr>
        <xdr:cNvSpPr txBox="1"/>
      </xdr:nvSpPr>
      <xdr:spPr>
        <a:xfrm>
          <a:off x="3103418" y="5472545"/>
          <a:ext cx="893618" cy="29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DEB6B29-38D3-49EA-852B-11F2F3BF163D}" type="TxLink">
            <a:rPr lang="en-US" sz="1600" b="1" i="0" u="none" strike="noStrike">
              <a:solidFill>
                <a:srgbClr val="21C587"/>
              </a:solidFill>
              <a:latin typeface="Agency FB" panose="020B0503020202020204" pitchFamily="34" charset="0"/>
              <a:ea typeface="+mn-ea"/>
              <a:cs typeface="Arial"/>
            </a:rPr>
            <a:pPr marL="0" indent="0"/>
            <a:t>30.77%</a:t>
          </a:fld>
          <a:endParaRPr lang="en-US" sz="1600" b="1" i="0" u="none" strike="noStrike">
            <a:solidFill>
              <a:srgbClr val="21C587"/>
            </a:solidFill>
            <a:latin typeface="Agency FB" panose="020B0503020202020204" pitchFamily="34" charset="0"/>
            <a:ea typeface="+mn-ea"/>
            <a:cs typeface="Arial"/>
          </a:endParaRPr>
        </a:p>
      </xdr:txBody>
    </xdr:sp>
    <xdr:clientData/>
  </xdr:twoCellAnchor>
  <xdr:twoCellAnchor>
    <xdr:from>
      <xdr:col>6</xdr:col>
      <xdr:colOff>542410</xdr:colOff>
      <xdr:row>12</xdr:row>
      <xdr:rowOff>152400</xdr:rowOff>
    </xdr:from>
    <xdr:to>
      <xdr:col>14</xdr:col>
      <xdr:colOff>91440</xdr:colOff>
      <xdr:row>27</xdr:row>
      <xdr:rowOff>38100</xdr:rowOff>
    </xdr:to>
    <xdr:sp macro="" textlink="">
      <xdr:nvSpPr>
        <xdr:cNvPr id="65" name="Rectangle: Rounded Corners 64">
          <a:extLst>
            <a:ext uri="{FF2B5EF4-FFF2-40B4-BE49-F238E27FC236}">
              <a16:creationId xmlns:a16="http://schemas.microsoft.com/office/drawing/2014/main" id="{DEE06981-2B92-4C4D-BECB-B3AAB3735F88}"/>
            </a:ext>
          </a:extLst>
        </xdr:cNvPr>
        <xdr:cNvSpPr/>
      </xdr:nvSpPr>
      <xdr:spPr>
        <a:xfrm>
          <a:off x="4200010" y="2346960"/>
          <a:ext cx="4425830" cy="2628900"/>
        </a:xfrm>
        <a:prstGeom prst="roundRect">
          <a:avLst>
            <a:gd name="adj" fmla="val 3785"/>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302678</xdr:colOff>
      <xdr:row>12</xdr:row>
      <xdr:rowOff>156682</xdr:rowOff>
    </xdr:from>
    <xdr:to>
      <xdr:col>10</xdr:col>
      <xdr:colOff>176948</xdr:colOff>
      <xdr:row>14</xdr:row>
      <xdr:rowOff>92778</xdr:rowOff>
    </xdr:to>
    <xdr:sp macro="" textlink="">
      <xdr:nvSpPr>
        <xdr:cNvPr id="66" name="TextBox 65">
          <a:extLst>
            <a:ext uri="{FF2B5EF4-FFF2-40B4-BE49-F238E27FC236}">
              <a16:creationId xmlns:a16="http://schemas.microsoft.com/office/drawing/2014/main" id="{BD95D6F9-EEDD-432F-A4D4-3417F39116BF}"/>
            </a:ext>
          </a:extLst>
        </xdr:cNvPr>
        <xdr:cNvSpPr txBox="1"/>
      </xdr:nvSpPr>
      <xdr:spPr>
        <a:xfrm>
          <a:off x="4569878" y="2399040"/>
          <a:ext cx="1703070"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Monthly profit</a:t>
          </a:r>
          <a:r>
            <a:rPr lang="en-US" sz="1100" b="1" i="1" baseline="0">
              <a:solidFill>
                <a:schemeClr val="tx1">
                  <a:lumMod val="85000"/>
                  <a:lumOff val="15000"/>
                </a:schemeClr>
              </a:solidFill>
            </a:rPr>
            <a:t> analysis</a:t>
          </a:r>
          <a:endParaRPr lang="en-US" sz="1100" b="1" i="1">
            <a:solidFill>
              <a:schemeClr val="tx1">
                <a:lumMod val="85000"/>
                <a:lumOff val="15000"/>
              </a:schemeClr>
            </a:solidFill>
          </a:endParaRPr>
        </a:p>
      </xdr:txBody>
    </xdr:sp>
    <xdr:clientData/>
  </xdr:twoCellAnchor>
  <xdr:twoCellAnchor editAs="absolute">
    <xdr:from>
      <xdr:col>6</xdr:col>
      <xdr:colOff>549337</xdr:colOff>
      <xdr:row>12</xdr:row>
      <xdr:rowOff>158635</xdr:rowOff>
    </xdr:from>
    <xdr:to>
      <xdr:col>7</xdr:col>
      <xdr:colOff>364552</xdr:colOff>
      <xdr:row>15</xdr:row>
      <xdr:rowOff>12643</xdr:rowOff>
    </xdr:to>
    <xdr:pic>
      <xdr:nvPicPr>
        <xdr:cNvPr id="67" name="Graphic 66" descr="Daily calendar">
          <a:extLst>
            <a:ext uri="{FF2B5EF4-FFF2-40B4-BE49-F238E27FC236}">
              <a16:creationId xmlns:a16="http://schemas.microsoft.com/office/drawing/2014/main" id="{13EA790A-5E6A-4476-899B-72230194AAF7}"/>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206937" y="2437015"/>
          <a:ext cx="424815" cy="402648"/>
        </a:xfrm>
        <a:prstGeom prst="rect">
          <a:avLst/>
        </a:prstGeom>
      </xdr:spPr>
    </xdr:pic>
    <xdr:clientData/>
  </xdr:twoCellAnchor>
  <xdr:twoCellAnchor>
    <xdr:from>
      <xdr:col>6</xdr:col>
      <xdr:colOff>601980</xdr:colOff>
      <xdr:row>15</xdr:row>
      <xdr:rowOff>30480</xdr:rowOff>
    </xdr:from>
    <xdr:to>
      <xdr:col>14</xdr:col>
      <xdr:colOff>7620</xdr:colOff>
      <xdr:row>26</xdr:row>
      <xdr:rowOff>144780</xdr:rowOff>
    </xdr:to>
    <xdr:graphicFrame macro="">
      <xdr:nvGraphicFramePr>
        <xdr:cNvPr id="68" name="Chart 67">
          <a:extLst>
            <a:ext uri="{FF2B5EF4-FFF2-40B4-BE49-F238E27FC236}">
              <a16:creationId xmlns:a16="http://schemas.microsoft.com/office/drawing/2014/main" id="{6D1A1627-508A-4A2B-9981-48AB0299A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6</xdr:col>
      <xdr:colOff>550030</xdr:colOff>
      <xdr:row>28</xdr:row>
      <xdr:rowOff>83820</xdr:rowOff>
    </xdr:from>
    <xdr:to>
      <xdr:col>14</xdr:col>
      <xdr:colOff>137160</xdr:colOff>
      <xdr:row>36</xdr:row>
      <xdr:rowOff>0</xdr:rowOff>
    </xdr:to>
    <xdr:sp macro="" textlink="">
      <xdr:nvSpPr>
        <xdr:cNvPr id="69" name="Rectangle: Rounded Corners 68">
          <a:extLst>
            <a:ext uri="{FF2B5EF4-FFF2-40B4-BE49-F238E27FC236}">
              <a16:creationId xmlns:a16="http://schemas.microsoft.com/office/drawing/2014/main" id="{816F7963-EE42-4C57-B181-FC9D0EB0357B}"/>
            </a:ext>
          </a:extLst>
        </xdr:cNvPr>
        <xdr:cNvSpPr/>
      </xdr:nvSpPr>
      <xdr:spPr>
        <a:xfrm>
          <a:off x="4207630" y="5204460"/>
          <a:ext cx="4463930" cy="1379220"/>
        </a:xfrm>
        <a:prstGeom prst="roundRect">
          <a:avLst>
            <a:gd name="adj" fmla="val 3785"/>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550030</xdr:colOff>
      <xdr:row>27</xdr:row>
      <xdr:rowOff>160020</xdr:rowOff>
    </xdr:from>
    <xdr:to>
      <xdr:col>7</xdr:col>
      <xdr:colOff>302380</xdr:colOff>
      <xdr:row>29</xdr:row>
      <xdr:rowOff>140970</xdr:rowOff>
    </xdr:to>
    <xdr:pic>
      <xdr:nvPicPr>
        <xdr:cNvPr id="70" name="Graphic 69" descr="Flip calendar">
          <a:extLst>
            <a:ext uri="{FF2B5EF4-FFF2-40B4-BE49-F238E27FC236}">
              <a16:creationId xmlns:a16="http://schemas.microsoft.com/office/drawing/2014/main" id="{58548565-0BDE-450D-89C7-4772A82F563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207630" y="5181600"/>
          <a:ext cx="361950" cy="346710"/>
        </a:xfrm>
        <a:prstGeom prst="rect">
          <a:avLst/>
        </a:prstGeom>
      </xdr:spPr>
    </xdr:pic>
    <xdr:clientData/>
  </xdr:twoCellAnchor>
  <xdr:twoCellAnchor editAs="absolute">
    <xdr:from>
      <xdr:col>7</xdr:col>
      <xdr:colOff>283330</xdr:colOff>
      <xdr:row>28</xdr:row>
      <xdr:rowOff>7620</xdr:rowOff>
    </xdr:from>
    <xdr:to>
      <xdr:col>10</xdr:col>
      <xdr:colOff>157600</xdr:colOff>
      <xdr:row>29</xdr:row>
      <xdr:rowOff>131445</xdr:rowOff>
    </xdr:to>
    <xdr:sp macro="" textlink="">
      <xdr:nvSpPr>
        <xdr:cNvPr id="71" name="TextBox 70">
          <a:extLst>
            <a:ext uri="{FF2B5EF4-FFF2-40B4-BE49-F238E27FC236}">
              <a16:creationId xmlns:a16="http://schemas.microsoft.com/office/drawing/2014/main" id="{6C0EEB2F-150B-4E9F-8D3E-5A79B7DB11A3}"/>
            </a:ext>
          </a:extLst>
        </xdr:cNvPr>
        <xdr:cNvSpPr txBox="1"/>
      </xdr:nvSpPr>
      <xdr:spPr>
        <a:xfrm>
          <a:off x="4550530" y="5212080"/>
          <a:ext cx="1703070"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Quarterly profit analysis</a:t>
          </a:r>
          <a:endParaRPr lang="en-US" sz="1100" b="1" i="1">
            <a:solidFill>
              <a:schemeClr val="tx1">
                <a:lumMod val="85000"/>
                <a:lumOff val="15000"/>
              </a:schemeClr>
            </a:solidFill>
          </a:endParaRPr>
        </a:p>
      </xdr:txBody>
    </xdr:sp>
    <xdr:clientData/>
  </xdr:twoCellAnchor>
  <xdr:twoCellAnchor>
    <xdr:from>
      <xdr:col>6</xdr:col>
      <xdr:colOff>556260</xdr:colOff>
      <xdr:row>30</xdr:row>
      <xdr:rowOff>15240</xdr:rowOff>
    </xdr:from>
    <xdr:to>
      <xdr:col>11</xdr:col>
      <xdr:colOff>228600</xdr:colOff>
      <xdr:row>36</xdr:row>
      <xdr:rowOff>35468</xdr:rowOff>
    </xdr:to>
    <xdr:graphicFrame macro="">
      <xdr:nvGraphicFramePr>
        <xdr:cNvPr id="72" name="Chart 71">
          <a:extLst>
            <a:ext uri="{FF2B5EF4-FFF2-40B4-BE49-F238E27FC236}">
              <a16:creationId xmlns:a16="http://schemas.microsoft.com/office/drawing/2014/main" id="{3F90C5FB-194D-4A77-8BCF-8640C4D59C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11</xdr:col>
      <xdr:colOff>199510</xdr:colOff>
      <xdr:row>30</xdr:row>
      <xdr:rowOff>108204</xdr:rowOff>
    </xdr:from>
    <xdr:to>
      <xdr:col>11</xdr:col>
      <xdr:colOff>549182</xdr:colOff>
      <xdr:row>32</xdr:row>
      <xdr:rowOff>45762</xdr:rowOff>
    </xdr:to>
    <xdr:sp macro="" textlink="Analysis!D6">
      <xdr:nvSpPr>
        <xdr:cNvPr id="73" name="TextBox 72">
          <a:extLst>
            <a:ext uri="{FF2B5EF4-FFF2-40B4-BE49-F238E27FC236}">
              <a16:creationId xmlns:a16="http://schemas.microsoft.com/office/drawing/2014/main" id="{7BDCA11A-0C88-47AB-ADAC-4DA371B80699}"/>
            </a:ext>
          </a:extLst>
        </xdr:cNvPr>
        <xdr:cNvSpPr txBox="1"/>
      </xdr:nvSpPr>
      <xdr:spPr>
        <a:xfrm>
          <a:off x="6905110" y="5678424"/>
          <a:ext cx="34967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11</xdr:col>
      <xdr:colOff>199510</xdr:colOff>
      <xdr:row>31</xdr:row>
      <xdr:rowOff>161545</xdr:rowOff>
    </xdr:from>
    <xdr:to>
      <xdr:col>11</xdr:col>
      <xdr:colOff>549182</xdr:colOff>
      <xdr:row>33</xdr:row>
      <xdr:rowOff>99103</xdr:rowOff>
    </xdr:to>
    <xdr:sp macro="" textlink="Analysis!D6">
      <xdr:nvSpPr>
        <xdr:cNvPr id="74" name="TextBox 73">
          <a:extLst>
            <a:ext uri="{FF2B5EF4-FFF2-40B4-BE49-F238E27FC236}">
              <a16:creationId xmlns:a16="http://schemas.microsoft.com/office/drawing/2014/main" id="{0A377FA6-84A6-4A13-9279-55A2E9851279}"/>
            </a:ext>
          </a:extLst>
        </xdr:cNvPr>
        <xdr:cNvSpPr txBox="1"/>
      </xdr:nvSpPr>
      <xdr:spPr>
        <a:xfrm>
          <a:off x="6905110" y="5914645"/>
          <a:ext cx="34967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11</xdr:col>
      <xdr:colOff>184270</xdr:colOff>
      <xdr:row>29</xdr:row>
      <xdr:rowOff>70104</xdr:rowOff>
    </xdr:from>
    <xdr:to>
      <xdr:col>11</xdr:col>
      <xdr:colOff>533942</xdr:colOff>
      <xdr:row>31</xdr:row>
      <xdr:rowOff>7663</xdr:rowOff>
    </xdr:to>
    <xdr:sp macro="" textlink="Analysis!D6">
      <xdr:nvSpPr>
        <xdr:cNvPr id="75" name="TextBox 74">
          <a:extLst>
            <a:ext uri="{FF2B5EF4-FFF2-40B4-BE49-F238E27FC236}">
              <a16:creationId xmlns:a16="http://schemas.microsoft.com/office/drawing/2014/main" id="{08BDBA38-98F7-4F1B-A5D8-D925F6A68FD1}"/>
            </a:ext>
          </a:extLst>
        </xdr:cNvPr>
        <xdr:cNvSpPr txBox="1"/>
      </xdr:nvSpPr>
      <xdr:spPr>
        <a:xfrm>
          <a:off x="6889870" y="5457444"/>
          <a:ext cx="349672"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11</xdr:col>
      <xdr:colOff>199510</xdr:colOff>
      <xdr:row>33</xdr:row>
      <xdr:rowOff>54864</xdr:rowOff>
    </xdr:from>
    <xdr:to>
      <xdr:col>11</xdr:col>
      <xdr:colOff>549182</xdr:colOff>
      <xdr:row>34</xdr:row>
      <xdr:rowOff>175302</xdr:rowOff>
    </xdr:to>
    <xdr:sp macro="" textlink="Analysis!D6">
      <xdr:nvSpPr>
        <xdr:cNvPr id="76" name="TextBox 75">
          <a:extLst>
            <a:ext uri="{FF2B5EF4-FFF2-40B4-BE49-F238E27FC236}">
              <a16:creationId xmlns:a16="http://schemas.microsoft.com/office/drawing/2014/main" id="{9A5490B9-1E5D-4B6C-8BDC-5ACA117E95BC}"/>
            </a:ext>
          </a:extLst>
        </xdr:cNvPr>
        <xdr:cNvSpPr txBox="1"/>
      </xdr:nvSpPr>
      <xdr:spPr>
        <a:xfrm>
          <a:off x="6905110" y="6173724"/>
          <a:ext cx="34967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AB271D-DAB0-4E76-98DC-9C8A9029161F}" type="TxLink">
            <a:rPr lang="en-US" sz="1800" b="0" i="0" u="none" strike="noStrike">
              <a:solidFill>
                <a:schemeClr val="tx1">
                  <a:lumMod val="95000"/>
                  <a:lumOff val="5000"/>
                </a:schemeClr>
              </a:solidFill>
              <a:latin typeface="Arial"/>
              <a:ea typeface="+mn-ea"/>
              <a:cs typeface="Arial"/>
            </a:rPr>
            <a:pPr marL="0" indent="0"/>
            <a:t>○</a:t>
          </a:fld>
          <a:endParaRPr lang="en-US" sz="3600" b="1" i="0" u="none" strike="noStrike">
            <a:solidFill>
              <a:schemeClr val="tx1">
                <a:lumMod val="95000"/>
                <a:lumOff val="5000"/>
              </a:schemeClr>
            </a:solidFill>
            <a:latin typeface="Aptos Narrow"/>
            <a:ea typeface="+mn-ea"/>
            <a:cs typeface="+mn-cs"/>
          </a:endParaRPr>
        </a:p>
      </xdr:txBody>
    </xdr:sp>
    <xdr:clientData/>
  </xdr:twoCellAnchor>
  <xdr:twoCellAnchor editAs="absolute">
    <xdr:from>
      <xdr:col>11</xdr:col>
      <xdr:colOff>391553</xdr:colOff>
      <xdr:row>29</xdr:row>
      <xdr:rowOff>63329</xdr:rowOff>
    </xdr:from>
    <xdr:to>
      <xdr:col>12</xdr:col>
      <xdr:colOff>351757</xdr:colOff>
      <xdr:row>31</xdr:row>
      <xdr:rowOff>887</xdr:rowOff>
    </xdr:to>
    <xdr:sp macro="" textlink="Analysis!$G$17">
      <xdr:nvSpPr>
        <xdr:cNvPr id="77" name="TextBox 76">
          <a:extLst>
            <a:ext uri="{FF2B5EF4-FFF2-40B4-BE49-F238E27FC236}">
              <a16:creationId xmlns:a16="http://schemas.microsoft.com/office/drawing/2014/main" id="{2D848A27-065D-46DB-9A47-29F664C7BB64}"/>
            </a:ext>
          </a:extLst>
        </xdr:cNvPr>
        <xdr:cNvSpPr txBox="1"/>
      </xdr:nvSpPr>
      <xdr:spPr>
        <a:xfrm>
          <a:off x="7097153" y="5450669"/>
          <a:ext cx="569804"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5ED1904-EA9D-4269-BB38-06352646EDCC}" type="TxLink">
            <a:rPr lang="en-US" sz="1200" b="1" i="1" u="none" strike="noStrike">
              <a:solidFill>
                <a:srgbClr val="21C587"/>
              </a:solidFill>
              <a:latin typeface="Aptos Narrow"/>
              <a:ea typeface="+mn-ea"/>
              <a:cs typeface="Arial"/>
            </a:rPr>
            <a:pPr marL="0" indent="0"/>
            <a:t>Qtr1</a:t>
          </a:fld>
          <a:endParaRPr lang="en-US" sz="1200" b="1" i="1" u="none" strike="noStrike">
            <a:solidFill>
              <a:srgbClr val="21C587"/>
            </a:solidFill>
            <a:latin typeface="Aptos Narrow"/>
            <a:ea typeface="+mn-ea"/>
            <a:cs typeface="Arial"/>
          </a:endParaRPr>
        </a:p>
      </xdr:txBody>
    </xdr:sp>
    <xdr:clientData/>
  </xdr:twoCellAnchor>
  <xdr:twoCellAnchor editAs="absolute">
    <xdr:from>
      <xdr:col>11</xdr:col>
      <xdr:colOff>406792</xdr:colOff>
      <xdr:row>33</xdr:row>
      <xdr:rowOff>54861</xdr:rowOff>
    </xdr:from>
    <xdr:to>
      <xdr:col>12</xdr:col>
      <xdr:colOff>366996</xdr:colOff>
      <xdr:row>34</xdr:row>
      <xdr:rowOff>175300</xdr:rowOff>
    </xdr:to>
    <xdr:sp macro="" textlink="Analysis!G20">
      <xdr:nvSpPr>
        <xdr:cNvPr id="78" name="TextBox 77">
          <a:extLst>
            <a:ext uri="{FF2B5EF4-FFF2-40B4-BE49-F238E27FC236}">
              <a16:creationId xmlns:a16="http://schemas.microsoft.com/office/drawing/2014/main" id="{908772C9-1A41-40FF-913A-80BEF6B11C4D}"/>
            </a:ext>
          </a:extLst>
        </xdr:cNvPr>
        <xdr:cNvSpPr txBox="1"/>
      </xdr:nvSpPr>
      <xdr:spPr>
        <a:xfrm>
          <a:off x="7112392" y="6173721"/>
          <a:ext cx="569804"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E05416DA-63E6-43D6-A349-2A6073867FD8}" type="TxLink">
            <a:rPr lang="en-US" sz="1200" b="1" i="1" u="none" strike="noStrike">
              <a:solidFill>
                <a:srgbClr val="21C587"/>
              </a:solidFill>
              <a:latin typeface="Aptos Narrow"/>
              <a:ea typeface="+mn-ea"/>
              <a:cs typeface="Arial"/>
            </a:rPr>
            <a:pPr marL="0" indent="0"/>
            <a:t>Qtr4</a:t>
          </a:fld>
          <a:endParaRPr lang="en-US" sz="1200" b="1" i="1" u="none" strike="noStrike">
            <a:solidFill>
              <a:srgbClr val="21C587"/>
            </a:solidFill>
            <a:latin typeface="Aptos Narrow"/>
            <a:ea typeface="+mn-ea"/>
            <a:cs typeface="Arial"/>
          </a:endParaRPr>
        </a:p>
      </xdr:txBody>
    </xdr:sp>
    <xdr:clientData/>
  </xdr:twoCellAnchor>
  <xdr:twoCellAnchor editAs="absolute">
    <xdr:from>
      <xdr:col>11</xdr:col>
      <xdr:colOff>390010</xdr:colOff>
      <xdr:row>32</xdr:row>
      <xdr:rowOff>9996</xdr:rowOff>
    </xdr:from>
    <xdr:to>
      <xdr:col>12</xdr:col>
      <xdr:colOff>350214</xdr:colOff>
      <xdr:row>33</xdr:row>
      <xdr:rowOff>130434</xdr:rowOff>
    </xdr:to>
    <xdr:sp macro="" textlink="Analysis!G19">
      <xdr:nvSpPr>
        <xdr:cNvPr id="79" name="TextBox 78">
          <a:extLst>
            <a:ext uri="{FF2B5EF4-FFF2-40B4-BE49-F238E27FC236}">
              <a16:creationId xmlns:a16="http://schemas.microsoft.com/office/drawing/2014/main" id="{3601D974-F2C5-41A2-9E71-F798A4AE7EFC}"/>
            </a:ext>
          </a:extLst>
        </xdr:cNvPr>
        <xdr:cNvSpPr txBox="1"/>
      </xdr:nvSpPr>
      <xdr:spPr>
        <a:xfrm>
          <a:off x="7095610" y="5945976"/>
          <a:ext cx="569804"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F24BA63A-D9C5-423E-85AB-D3F55EB8D650}" type="TxLink">
            <a:rPr lang="en-US" sz="1200" b="1" i="1" u="none" strike="noStrike">
              <a:solidFill>
                <a:srgbClr val="21C587"/>
              </a:solidFill>
              <a:latin typeface="Aptos Narrow"/>
              <a:ea typeface="+mn-ea"/>
              <a:cs typeface="Arial"/>
            </a:rPr>
            <a:pPr marL="0" indent="0"/>
            <a:t>Qtr3</a:t>
          </a:fld>
          <a:endParaRPr lang="en-US" sz="1200" b="1" i="1" u="none" strike="noStrike">
            <a:solidFill>
              <a:srgbClr val="21C587"/>
            </a:solidFill>
            <a:latin typeface="Aptos Narrow"/>
            <a:ea typeface="+mn-ea"/>
            <a:cs typeface="Arial"/>
          </a:endParaRPr>
        </a:p>
      </xdr:txBody>
    </xdr:sp>
    <xdr:clientData/>
  </xdr:twoCellAnchor>
  <xdr:twoCellAnchor editAs="absolute">
    <xdr:from>
      <xdr:col>12</xdr:col>
      <xdr:colOff>313806</xdr:colOff>
      <xdr:row>29</xdr:row>
      <xdr:rowOff>54864</xdr:rowOff>
    </xdr:from>
    <xdr:to>
      <xdr:col>14</xdr:col>
      <xdr:colOff>93904</xdr:colOff>
      <xdr:row>30</xdr:row>
      <xdr:rowOff>175302</xdr:rowOff>
    </xdr:to>
    <xdr:sp macro="" textlink="Analysis!I17">
      <xdr:nvSpPr>
        <xdr:cNvPr id="80" name="TextBox 79">
          <a:extLst>
            <a:ext uri="{FF2B5EF4-FFF2-40B4-BE49-F238E27FC236}">
              <a16:creationId xmlns:a16="http://schemas.microsoft.com/office/drawing/2014/main" id="{FDC5F49C-A717-4E8D-85F6-93857CB7F4F3}"/>
            </a:ext>
          </a:extLst>
        </xdr:cNvPr>
        <xdr:cNvSpPr txBox="1"/>
      </xdr:nvSpPr>
      <xdr:spPr>
        <a:xfrm>
          <a:off x="7629006" y="5442204"/>
          <a:ext cx="999298"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40532C3-CDF3-446F-9118-B47B6567AC2E}" type="TxLink">
            <a:rPr lang="en-US" sz="1200" b="1" i="0" u="none" strike="noStrike">
              <a:solidFill>
                <a:schemeClr val="bg2">
                  <a:lumMod val="50000"/>
                </a:schemeClr>
              </a:solidFill>
              <a:latin typeface="Aptos Narrow"/>
              <a:ea typeface="+mn-ea"/>
              <a:cs typeface="Arial"/>
            </a:rPr>
            <a:pPr marL="0" indent="0"/>
            <a:t>$3,042</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12</xdr:col>
      <xdr:colOff>313806</xdr:colOff>
      <xdr:row>30</xdr:row>
      <xdr:rowOff>137836</xdr:rowOff>
    </xdr:from>
    <xdr:to>
      <xdr:col>14</xdr:col>
      <xdr:colOff>190886</xdr:colOff>
      <xdr:row>32</xdr:row>
      <xdr:rowOff>75395</xdr:rowOff>
    </xdr:to>
    <xdr:sp macro="" textlink="Analysis!I18">
      <xdr:nvSpPr>
        <xdr:cNvPr id="81" name="TextBox 80">
          <a:extLst>
            <a:ext uri="{FF2B5EF4-FFF2-40B4-BE49-F238E27FC236}">
              <a16:creationId xmlns:a16="http://schemas.microsoft.com/office/drawing/2014/main" id="{D8E3F6CE-8337-4D8B-825E-B6FB30A005CB}"/>
            </a:ext>
          </a:extLst>
        </xdr:cNvPr>
        <xdr:cNvSpPr txBox="1"/>
      </xdr:nvSpPr>
      <xdr:spPr>
        <a:xfrm>
          <a:off x="7629006" y="5708056"/>
          <a:ext cx="1096280"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2A789DF-9AB0-4113-A245-E6E1B945FB73}" type="TxLink">
            <a:rPr lang="en-US" sz="1200" b="1" i="0" u="none" strike="noStrike">
              <a:solidFill>
                <a:schemeClr val="bg2">
                  <a:lumMod val="50000"/>
                </a:schemeClr>
              </a:solidFill>
              <a:latin typeface="Aptos Narrow"/>
              <a:ea typeface="+mn-ea"/>
              <a:cs typeface="Arial"/>
            </a:rPr>
            <a:pPr marL="0" indent="0"/>
            <a:t>$507</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12</xdr:col>
      <xdr:colOff>305336</xdr:colOff>
      <xdr:row>32</xdr:row>
      <xdr:rowOff>1531</xdr:rowOff>
    </xdr:from>
    <xdr:to>
      <xdr:col>14</xdr:col>
      <xdr:colOff>183958</xdr:colOff>
      <xdr:row>33</xdr:row>
      <xdr:rowOff>121969</xdr:rowOff>
    </xdr:to>
    <xdr:sp macro="" textlink="Analysis!I19">
      <xdr:nvSpPr>
        <xdr:cNvPr id="82" name="TextBox 81">
          <a:extLst>
            <a:ext uri="{FF2B5EF4-FFF2-40B4-BE49-F238E27FC236}">
              <a16:creationId xmlns:a16="http://schemas.microsoft.com/office/drawing/2014/main" id="{B35516DD-F235-4CE0-88DF-44EDAEA36292}"/>
            </a:ext>
          </a:extLst>
        </xdr:cNvPr>
        <xdr:cNvSpPr txBox="1"/>
      </xdr:nvSpPr>
      <xdr:spPr>
        <a:xfrm>
          <a:off x="7620536" y="5937511"/>
          <a:ext cx="109782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F62337FD-175C-425B-A83E-3F62ECA0C5C7}" type="TxLink">
            <a:rPr lang="en-US" sz="1200" b="1" i="0" u="none" strike="noStrike">
              <a:solidFill>
                <a:schemeClr val="bg2">
                  <a:lumMod val="50000"/>
                </a:schemeClr>
              </a:solidFill>
              <a:latin typeface="Aptos Narrow"/>
              <a:ea typeface="+mn-ea"/>
              <a:cs typeface="Arial"/>
            </a:rPr>
            <a:pPr marL="0" indent="0"/>
            <a:t>$507</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11</xdr:col>
      <xdr:colOff>412870</xdr:colOff>
      <xdr:row>30</xdr:row>
      <xdr:rowOff>124289</xdr:rowOff>
    </xdr:from>
    <xdr:to>
      <xdr:col>12</xdr:col>
      <xdr:colOff>373074</xdr:colOff>
      <xdr:row>32</xdr:row>
      <xdr:rowOff>61847</xdr:rowOff>
    </xdr:to>
    <xdr:sp macro="" textlink="Analysis!G18">
      <xdr:nvSpPr>
        <xdr:cNvPr id="83" name="TextBox 82">
          <a:extLst>
            <a:ext uri="{FF2B5EF4-FFF2-40B4-BE49-F238E27FC236}">
              <a16:creationId xmlns:a16="http://schemas.microsoft.com/office/drawing/2014/main" id="{9CED8DF1-68CA-4450-AD6A-FBAFB2C5BF6A}"/>
            </a:ext>
          </a:extLst>
        </xdr:cNvPr>
        <xdr:cNvSpPr txBox="1"/>
      </xdr:nvSpPr>
      <xdr:spPr>
        <a:xfrm>
          <a:off x="7118470" y="5694509"/>
          <a:ext cx="569804"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3794BD1-0573-478C-8B30-A7AC59CFE13D}" type="TxLink">
            <a:rPr lang="en-US" sz="1200" b="1" i="1" u="none" strike="noStrike">
              <a:solidFill>
                <a:srgbClr val="21C587"/>
              </a:solidFill>
              <a:latin typeface="Aptos Narrow"/>
              <a:ea typeface="+mn-ea"/>
              <a:cs typeface="Arial"/>
            </a:rPr>
            <a:pPr marL="0" indent="0"/>
            <a:t>Qtr2</a:t>
          </a:fld>
          <a:endParaRPr lang="en-US" sz="1200" b="1" i="1" u="none" strike="noStrike">
            <a:solidFill>
              <a:srgbClr val="21C587"/>
            </a:solidFill>
            <a:latin typeface="Aptos Narrow"/>
            <a:ea typeface="+mn-ea"/>
            <a:cs typeface="Arial"/>
          </a:endParaRPr>
        </a:p>
      </xdr:txBody>
    </xdr:sp>
    <xdr:clientData/>
  </xdr:twoCellAnchor>
  <xdr:twoCellAnchor editAs="absolute">
    <xdr:from>
      <xdr:col>12</xdr:col>
      <xdr:colOff>312956</xdr:colOff>
      <xdr:row>33</xdr:row>
      <xdr:rowOff>70104</xdr:rowOff>
    </xdr:from>
    <xdr:to>
      <xdr:col>14</xdr:col>
      <xdr:colOff>191578</xdr:colOff>
      <xdr:row>35</xdr:row>
      <xdr:rowOff>7662</xdr:rowOff>
    </xdr:to>
    <xdr:sp macro="" textlink="Analysis!I20">
      <xdr:nvSpPr>
        <xdr:cNvPr id="84" name="TextBox 83">
          <a:extLst>
            <a:ext uri="{FF2B5EF4-FFF2-40B4-BE49-F238E27FC236}">
              <a16:creationId xmlns:a16="http://schemas.microsoft.com/office/drawing/2014/main" id="{425C702B-1DD5-4A70-BB43-BB5B4B141A61}"/>
            </a:ext>
          </a:extLst>
        </xdr:cNvPr>
        <xdr:cNvSpPr txBox="1"/>
      </xdr:nvSpPr>
      <xdr:spPr>
        <a:xfrm>
          <a:off x="7628156" y="6188964"/>
          <a:ext cx="109782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2D754AC-A7EC-4190-8FAD-5AAAE1DD363D}" type="TxLink">
            <a:rPr lang="en-US" sz="1200" b="1" i="0" u="none" strike="noStrike">
              <a:solidFill>
                <a:schemeClr val="bg2">
                  <a:lumMod val="50000"/>
                </a:schemeClr>
              </a:solidFill>
              <a:latin typeface="Aptos Narrow"/>
              <a:ea typeface="+mn-ea"/>
              <a:cs typeface="Arial"/>
            </a:rPr>
            <a:pPr marL="0" indent="0"/>
            <a:t>$2,535</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14</xdr:col>
      <xdr:colOff>304800</xdr:colOff>
      <xdr:row>12</xdr:row>
      <xdr:rowOff>68580</xdr:rowOff>
    </xdr:from>
    <xdr:to>
      <xdr:col>18</xdr:col>
      <xdr:colOff>22860</xdr:colOff>
      <xdr:row>26</xdr:row>
      <xdr:rowOff>106681</xdr:rowOff>
    </xdr:to>
    <xdr:sp macro="" textlink="">
      <xdr:nvSpPr>
        <xdr:cNvPr id="85" name="Rectangle: Rounded Corners 84">
          <a:extLst>
            <a:ext uri="{FF2B5EF4-FFF2-40B4-BE49-F238E27FC236}">
              <a16:creationId xmlns:a16="http://schemas.microsoft.com/office/drawing/2014/main" id="{F7AC091F-FFF3-4FC0-9B41-219643E1561A}"/>
            </a:ext>
          </a:extLst>
        </xdr:cNvPr>
        <xdr:cNvSpPr/>
      </xdr:nvSpPr>
      <xdr:spPr>
        <a:xfrm>
          <a:off x="8839200" y="2346960"/>
          <a:ext cx="2156460" cy="2598421"/>
        </a:xfrm>
        <a:prstGeom prst="roundRect">
          <a:avLst>
            <a:gd name="adj" fmla="val 3954"/>
          </a:avLst>
        </a:prstGeom>
        <a:solidFill>
          <a:schemeClr val="bg1"/>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345301</xdr:colOff>
      <xdr:row>13</xdr:row>
      <xdr:rowOff>112890</xdr:rowOff>
    </xdr:from>
    <xdr:to>
      <xdr:col>17</xdr:col>
      <xdr:colOff>586741</xdr:colOff>
      <xdr:row>16</xdr:row>
      <xdr:rowOff>152400</xdr:rowOff>
    </xdr:to>
    <xdr:sp macro="" textlink="Analysis!K20">
      <xdr:nvSpPr>
        <xdr:cNvPr id="86" name="TextBox 85">
          <a:extLst>
            <a:ext uri="{FF2B5EF4-FFF2-40B4-BE49-F238E27FC236}">
              <a16:creationId xmlns:a16="http://schemas.microsoft.com/office/drawing/2014/main" id="{54682DF7-3FE2-4BD8-B1DC-B3538A37E5AA}"/>
            </a:ext>
          </a:extLst>
        </xdr:cNvPr>
        <xdr:cNvSpPr txBox="1"/>
      </xdr:nvSpPr>
      <xdr:spPr>
        <a:xfrm>
          <a:off x="8879701" y="2574150"/>
          <a:ext cx="2070240" cy="58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ADA961-E471-471E-B4D2-191D4AD3BF9B}" type="TxLink">
            <a:rPr lang="en-US" sz="1100" b="0" i="0" u="none" strike="noStrike">
              <a:solidFill>
                <a:srgbClr val="000000"/>
              </a:solidFill>
              <a:latin typeface="Aptos Narrow"/>
              <a:ea typeface="+mn-ea"/>
              <a:cs typeface="Calibri"/>
            </a:rPr>
            <a:pPr marL="0" indent="0" algn="ctr"/>
            <a:t>Showing TOP-3 profitable customers out of 96 customers</a:t>
          </a:fld>
          <a:endParaRPr lang="en-US" sz="1100" b="1" i="1"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304800</xdr:colOff>
      <xdr:row>12</xdr:row>
      <xdr:rowOff>68580</xdr:rowOff>
    </xdr:from>
    <xdr:to>
      <xdr:col>15</xdr:col>
      <xdr:colOff>65265</xdr:colOff>
      <xdr:row>14</xdr:row>
      <xdr:rowOff>42405</xdr:rowOff>
    </xdr:to>
    <xdr:pic>
      <xdr:nvPicPr>
        <xdr:cNvPr id="87" name="Graphic 86" descr="Cowboy">
          <a:extLst>
            <a:ext uri="{FF2B5EF4-FFF2-40B4-BE49-F238E27FC236}">
              <a16:creationId xmlns:a16="http://schemas.microsoft.com/office/drawing/2014/main" id="{FC7F6BFE-4CB2-4AB0-B3D0-1C52349BE49F}"/>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8839200" y="2346960"/>
          <a:ext cx="370065" cy="339585"/>
        </a:xfrm>
        <a:prstGeom prst="rect">
          <a:avLst/>
        </a:prstGeom>
      </xdr:spPr>
    </xdr:pic>
    <xdr:clientData/>
  </xdr:twoCellAnchor>
  <xdr:twoCellAnchor editAs="absolute">
    <xdr:from>
      <xdr:col>15</xdr:col>
      <xdr:colOff>91440</xdr:colOff>
      <xdr:row>13</xdr:row>
      <xdr:rowOff>22860</xdr:rowOff>
    </xdr:from>
    <xdr:to>
      <xdr:col>17</xdr:col>
      <xdr:colOff>264795</xdr:colOff>
      <xdr:row>14</xdr:row>
      <xdr:rowOff>139065</xdr:rowOff>
    </xdr:to>
    <xdr:sp macro="" textlink="">
      <xdr:nvSpPr>
        <xdr:cNvPr id="88" name="TextBox 87">
          <a:extLst>
            <a:ext uri="{FF2B5EF4-FFF2-40B4-BE49-F238E27FC236}">
              <a16:creationId xmlns:a16="http://schemas.microsoft.com/office/drawing/2014/main" id="{8B4E7713-259C-4416-86F5-215414F774DC}"/>
            </a:ext>
          </a:extLst>
        </xdr:cNvPr>
        <xdr:cNvSpPr txBox="1"/>
      </xdr:nvSpPr>
      <xdr:spPr>
        <a:xfrm>
          <a:off x="9235440" y="2484120"/>
          <a:ext cx="1392555" cy="29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Custermers analysis</a:t>
          </a:r>
          <a:endParaRPr lang="en-US" sz="1100" b="1" i="1">
            <a:solidFill>
              <a:schemeClr val="tx1">
                <a:lumMod val="85000"/>
                <a:lumOff val="15000"/>
              </a:schemeClr>
            </a:solidFill>
          </a:endParaRPr>
        </a:p>
      </xdr:txBody>
    </xdr:sp>
    <xdr:clientData/>
  </xdr:twoCellAnchor>
  <xdr:twoCellAnchor editAs="absolute">
    <xdr:from>
      <xdr:col>14</xdr:col>
      <xdr:colOff>304800</xdr:colOff>
      <xdr:row>28</xdr:row>
      <xdr:rowOff>6704</xdr:rowOff>
    </xdr:from>
    <xdr:to>
      <xdr:col>18</xdr:col>
      <xdr:colOff>22860</xdr:colOff>
      <xdr:row>35</xdr:row>
      <xdr:rowOff>91439</xdr:rowOff>
    </xdr:to>
    <xdr:sp macro="" textlink="">
      <xdr:nvSpPr>
        <xdr:cNvPr id="89" name="Rectangle: Rounded Corners 88">
          <a:extLst>
            <a:ext uri="{FF2B5EF4-FFF2-40B4-BE49-F238E27FC236}">
              <a16:creationId xmlns:a16="http://schemas.microsoft.com/office/drawing/2014/main" id="{B2E0A264-507A-42B9-BF5E-06AFB82CE322}"/>
            </a:ext>
          </a:extLst>
        </xdr:cNvPr>
        <xdr:cNvSpPr/>
      </xdr:nvSpPr>
      <xdr:spPr>
        <a:xfrm>
          <a:off x="8839200" y="5211164"/>
          <a:ext cx="2156460" cy="1364895"/>
        </a:xfrm>
        <a:prstGeom prst="roundRect">
          <a:avLst>
            <a:gd name="adj" fmla="val 3954"/>
          </a:avLst>
        </a:prstGeom>
        <a:solidFill>
          <a:schemeClr val="bg1"/>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4444</xdr:colOff>
      <xdr:row>27</xdr:row>
      <xdr:rowOff>180060</xdr:rowOff>
    </xdr:from>
    <xdr:to>
      <xdr:col>17</xdr:col>
      <xdr:colOff>463550</xdr:colOff>
      <xdr:row>29</xdr:row>
      <xdr:rowOff>121005</xdr:rowOff>
    </xdr:to>
    <xdr:sp macro="" textlink="">
      <xdr:nvSpPr>
        <xdr:cNvPr id="90" name="TextBox 89">
          <a:extLst>
            <a:ext uri="{FF2B5EF4-FFF2-40B4-BE49-F238E27FC236}">
              <a16:creationId xmlns:a16="http://schemas.microsoft.com/office/drawing/2014/main" id="{DAA73FFB-F82F-459D-A060-BFACF1E5200A}"/>
            </a:ext>
          </a:extLst>
        </xdr:cNvPr>
        <xdr:cNvSpPr txBox="1"/>
      </xdr:nvSpPr>
      <xdr:spPr>
        <a:xfrm>
          <a:off x="9148444" y="5201640"/>
          <a:ext cx="1678306" cy="306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Cumulative total profit</a:t>
          </a:r>
        </a:p>
      </xdr:txBody>
    </xdr:sp>
    <xdr:clientData/>
  </xdr:twoCellAnchor>
  <xdr:twoCellAnchor editAs="absolute">
    <xdr:from>
      <xdr:col>14</xdr:col>
      <xdr:colOff>310655</xdr:colOff>
      <xdr:row>27</xdr:row>
      <xdr:rowOff>175260</xdr:rowOff>
    </xdr:from>
    <xdr:to>
      <xdr:col>15</xdr:col>
      <xdr:colOff>42545</xdr:colOff>
      <xdr:row>29</xdr:row>
      <xdr:rowOff>128130</xdr:rowOff>
    </xdr:to>
    <xdr:pic>
      <xdr:nvPicPr>
        <xdr:cNvPr id="91" name="Graphic 90" descr="Monthly calendar">
          <a:extLst>
            <a:ext uri="{FF2B5EF4-FFF2-40B4-BE49-F238E27FC236}">
              <a16:creationId xmlns:a16="http://schemas.microsoft.com/office/drawing/2014/main" id="{816EB14C-BDC0-45EB-B358-A85D1634D43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845055" y="5196840"/>
          <a:ext cx="341490" cy="31863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236220</xdr:colOff>
          <xdr:row>12</xdr:row>
          <xdr:rowOff>99060</xdr:rowOff>
        </xdr:from>
        <xdr:to>
          <xdr:col>16</xdr:col>
          <xdr:colOff>266700</xdr:colOff>
          <xdr:row>13</xdr:row>
          <xdr:rowOff>137160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12</xdr:row>
          <xdr:rowOff>91440</xdr:rowOff>
        </xdr:from>
        <xdr:to>
          <xdr:col>17</xdr:col>
          <xdr:colOff>220980</xdr:colOff>
          <xdr:row>13</xdr:row>
          <xdr:rowOff>129540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Low</a:t>
              </a:r>
            </a:p>
          </xdr:txBody>
        </xdr:sp>
        <xdr:clientData/>
      </xdr:twoCellAnchor>
    </mc:Choice>
    <mc:Fallback/>
  </mc:AlternateContent>
  <xdr:twoCellAnchor>
    <xdr:from>
      <xdr:col>14</xdr:col>
      <xdr:colOff>281940</xdr:colOff>
      <xdr:row>15</xdr:row>
      <xdr:rowOff>7620</xdr:rowOff>
    </xdr:from>
    <xdr:to>
      <xdr:col>18</xdr:col>
      <xdr:colOff>15240</xdr:colOff>
      <xdr:row>21</xdr:row>
      <xdr:rowOff>45720</xdr:rowOff>
    </xdr:to>
    <xdr:graphicFrame macro="">
      <xdr:nvGraphicFramePr>
        <xdr:cNvPr id="92" name="Chart 91">
          <a:extLst>
            <a:ext uri="{FF2B5EF4-FFF2-40B4-BE49-F238E27FC236}">
              <a16:creationId xmlns:a16="http://schemas.microsoft.com/office/drawing/2014/main" id="{08041516-5BC3-4FEC-B926-3F4C1537F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14</xdr:col>
      <xdr:colOff>458050</xdr:colOff>
      <xdr:row>20</xdr:row>
      <xdr:rowOff>152400</xdr:rowOff>
    </xdr:from>
    <xdr:to>
      <xdr:col>16</xdr:col>
      <xdr:colOff>238148</xdr:colOff>
      <xdr:row>22</xdr:row>
      <xdr:rowOff>89958</xdr:rowOff>
    </xdr:to>
    <xdr:sp macro="" textlink="Analysis!$M$15">
      <xdr:nvSpPr>
        <xdr:cNvPr id="97" name="TextBox 96">
          <a:extLst>
            <a:ext uri="{FF2B5EF4-FFF2-40B4-BE49-F238E27FC236}">
              <a16:creationId xmlns:a16="http://schemas.microsoft.com/office/drawing/2014/main" id="{4912E2A6-02AD-48E0-9DAD-AEB5B806975F}"/>
            </a:ext>
          </a:extLst>
        </xdr:cNvPr>
        <xdr:cNvSpPr txBox="1"/>
      </xdr:nvSpPr>
      <xdr:spPr>
        <a:xfrm>
          <a:off x="8992450" y="3893820"/>
          <a:ext cx="999298"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B2FD0D4-413B-488E-8071-BBE3D654EDC9}" type="TxLink">
            <a:rPr lang="en-US" sz="1100" b="1" i="1" u="none" strike="noStrike">
              <a:solidFill>
                <a:schemeClr val="bg2">
                  <a:lumMod val="50000"/>
                </a:schemeClr>
              </a:solidFill>
              <a:latin typeface="Aptos Narrow"/>
              <a:ea typeface="+mn-ea"/>
              <a:cs typeface="Arial"/>
            </a:rPr>
            <a:pPr marL="0" indent="0"/>
            <a:t>Daniel Barnes</a:t>
          </a:fld>
          <a:endParaRPr lang="en-US" sz="1200" b="1" i="1" u="none" strike="noStrike">
            <a:solidFill>
              <a:schemeClr val="bg2">
                <a:lumMod val="50000"/>
              </a:schemeClr>
            </a:solidFill>
            <a:latin typeface="Aptos Narrow"/>
            <a:ea typeface="+mn-ea"/>
            <a:cs typeface="Arial"/>
          </a:endParaRPr>
        </a:p>
      </xdr:txBody>
    </xdr:sp>
    <xdr:clientData/>
  </xdr:twoCellAnchor>
  <xdr:twoCellAnchor editAs="absolute">
    <xdr:from>
      <xdr:col>14</xdr:col>
      <xdr:colOff>458050</xdr:colOff>
      <xdr:row>22</xdr:row>
      <xdr:rowOff>182032</xdr:rowOff>
    </xdr:from>
    <xdr:to>
      <xdr:col>16</xdr:col>
      <xdr:colOff>335130</xdr:colOff>
      <xdr:row>24</xdr:row>
      <xdr:rowOff>119591</xdr:rowOff>
    </xdr:to>
    <xdr:sp macro="" textlink="Analysis!$M$16">
      <xdr:nvSpPr>
        <xdr:cNvPr id="98" name="TextBox 97">
          <a:extLst>
            <a:ext uri="{FF2B5EF4-FFF2-40B4-BE49-F238E27FC236}">
              <a16:creationId xmlns:a16="http://schemas.microsoft.com/office/drawing/2014/main" id="{D93F8893-8367-45AD-B64C-E3AFCEEC1E72}"/>
            </a:ext>
          </a:extLst>
        </xdr:cNvPr>
        <xdr:cNvSpPr txBox="1"/>
      </xdr:nvSpPr>
      <xdr:spPr>
        <a:xfrm>
          <a:off x="8992450" y="4289212"/>
          <a:ext cx="1096280"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FFC64B4B-5DCA-4292-A0FC-2A270BD55FD8}" type="TxLink">
            <a:rPr lang="en-US" sz="1100" b="1" i="1" u="none" strike="noStrike">
              <a:solidFill>
                <a:schemeClr val="bg2">
                  <a:lumMod val="50000"/>
                </a:schemeClr>
              </a:solidFill>
              <a:latin typeface="Aptos Narrow"/>
              <a:ea typeface="+mn-ea"/>
              <a:cs typeface="Arial"/>
            </a:rPr>
            <a:pPr marL="0" indent="0"/>
            <a:t>James Simmons</a:t>
          </a:fld>
          <a:endParaRPr lang="en-US" sz="1100" b="1" i="1" u="none" strike="noStrike">
            <a:solidFill>
              <a:schemeClr val="bg2">
                <a:lumMod val="50000"/>
              </a:schemeClr>
            </a:solidFill>
            <a:latin typeface="Aptos Narrow"/>
            <a:ea typeface="+mn-ea"/>
            <a:cs typeface="Arial"/>
          </a:endParaRPr>
        </a:p>
      </xdr:txBody>
    </xdr:sp>
    <xdr:clientData/>
  </xdr:twoCellAnchor>
  <xdr:twoCellAnchor editAs="absolute">
    <xdr:from>
      <xdr:col>14</xdr:col>
      <xdr:colOff>449580</xdr:colOff>
      <xdr:row>25</xdr:row>
      <xdr:rowOff>7</xdr:rowOff>
    </xdr:from>
    <xdr:to>
      <xdr:col>16</xdr:col>
      <xdr:colOff>328202</xdr:colOff>
      <xdr:row>26</xdr:row>
      <xdr:rowOff>120445</xdr:rowOff>
    </xdr:to>
    <xdr:sp macro="" textlink="Analysis!$M$17">
      <xdr:nvSpPr>
        <xdr:cNvPr id="99" name="TextBox 98">
          <a:extLst>
            <a:ext uri="{FF2B5EF4-FFF2-40B4-BE49-F238E27FC236}">
              <a16:creationId xmlns:a16="http://schemas.microsoft.com/office/drawing/2014/main" id="{FB8021FD-CD99-4F2F-B227-F6C0ADC892E9}"/>
            </a:ext>
          </a:extLst>
        </xdr:cNvPr>
        <xdr:cNvSpPr txBox="1"/>
      </xdr:nvSpPr>
      <xdr:spPr>
        <a:xfrm>
          <a:off x="8983980" y="4655827"/>
          <a:ext cx="109782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011E91D-2904-40FB-B807-F171B6344300}" type="TxLink">
            <a:rPr lang="en-US" sz="1100" b="1" i="1" u="none" strike="noStrike">
              <a:solidFill>
                <a:schemeClr val="bg2">
                  <a:lumMod val="50000"/>
                </a:schemeClr>
              </a:solidFill>
              <a:latin typeface="Aptos Narrow"/>
              <a:ea typeface="+mn-ea"/>
              <a:cs typeface="Arial"/>
            </a:rPr>
            <a:pPr marL="0" indent="0"/>
            <a:t>Johnny Andrews</a:t>
          </a:fld>
          <a:endParaRPr lang="en-US" sz="1200" b="1" i="1" u="none" strike="noStrike">
            <a:solidFill>
              <a:schemeClr val="bg2">
                <a:lumMod val="50000"/>
              </a:schemeClr>
            </a:solidFill>
            <a:latin typeface="Aptos Narrow"/>
            <a:ea typeface="+mn-ea"/>
            <a:cs typeface="Arial"/>
          </a:endParaRPr>
        </a:p>
      </xdr:txBody>
    </xdr:sp>
    <xdr:clientData/>
  </xdr:twoCellAnchor>
  <xdr:twoCellAnchor editAs="absolute">
    <xdr:from>
      <xdr:col>14</xdr:col>
      <xdr:colOff>442810</xdr:colOff>
      <xdr:row>22</xdr:row>
      <xdr:rowOff>29632</xdr:rowOff>
    </xdr:from>
    <xdr:to>
      <xdr:col>16</xdr:col>
      <xdr:colOff>319890</xdr:colOff>
      <xdr:row>23</xdr:row>
      <xdr:rowOff>150071</xdr:rowOff>
    </xdr:to>
    <xdr:sp macro="" textlink="Analysis!N16">
      <xdr:nvSpPr>
        <xdr:cNvPr id="101" name="TextBox 100">
          <a:extLst>
            <a:ext uri="{FF2B5EF4-FFF2-40B4-BE49-F238E27FC236}">
              <a16:creationId xmlns:a16="http://schemas.microsoft.com/office/drawing/2014/main" id="{225C8130-E4CB-4BE1-8852-47F71148ACA8}"/>
            </a:ext>
          </a:extLst>
        </xdr:cNvPr>
        <xdr:cNvSpPr txBox="1"/>
      </xdr:nvSpPr>
      <xdr:spPr>
        <a:xfrm>
          <a:off x="8977210" y="4136812"/>
          <a:ext cx="1096280"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A354E3C-FFE7-4483-ABAA-8A0AF0D67A7C}" type="TxLink">
            <a:rPr lang="en-US" sz="1100" b="1" i="0" u="none" strike="noStrike">
              <a:solidFill>
                <a:srgbClr val="000000"/>
              </a:solidFill>
              <a:latin typeface="Aptos Narrow"/>
              <a:ea typeface="+mn-ea"/>
              <a:cs typeface="Arial"/>
            </a:rPr>
            <a:pPr marL="0" indent="0"/>
            <a:t>2028</a:t>
          </a:fld>
          <a:endParaRPr lang="en-US" sz="1100" b="1" i="0" u="none" strike="noStrike">
            <a:solidFill>
              <a:srgbClr val="000000"/>
            </a:solidFill>
            <a:latin typeface="Aptos Narrow"/>
            <a:ea typeface="+mn-ea"/>
            <a:cs typeface="Arial"/>
          </a:endParaRPr>
        </a:p>
      </xdr:txBody>
    </xdr:sp>
    <xdr:clientData/>
  </xdr:twoCellAnchor>
  <xdr:twoCellAnchor editAs="absolute">
    <xdr:from>
      <xdr:col>14</xdr:col>
      <xdr:colOff>464820</xdr:colOff>
      <xdr:row>24</xdr:row>
      <xdr:rowOff>30487</xdr:rowOff>
    </xdr:from>
    <xdr:to>
      <xdr:col>16</xdr:col>
      <xdr:colOff>343442</xdr:colOff>
      <xdr:row>25</xdr:row>
      <xdr:rowOff>150925</xdr:rowOff>
    </xdr:to>
    <xdr:sp macro="" textlink="Analysis!N17">
      <xdr:nvSpPr>
        <xdr:cNvPr id="102" name="TextBox 101">
          <a:extLst>
            <a:ext uri="{FF2B5EF4-FFF2-40B4-BE49-F238E27FC236}">
              <a16:creationId xmlns:a16="http://schemas.microsoft.com/office/drawing/2014/main" id="{A596BE53-7A10-4DA7-A297-2D5E2D133D01}"/>
            </a:ext>
          </a:extLst>
        </xdr:cNvPr>
        <xdr:cNvSpPr txBox="1"/>
      </xdr:nvSpPr>
      <xdr:spPr>
        <a:xfrm>
          <a:off x="8999220" y="4503427"/>
          <a:ext cx="1097822"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5388E5E-E5CC-4D76-9C7E-6ED9BCDFA908}" type="TxLink">
            <a:rPr lang="en-US" sz="1100" b="1" i="0" u="none" strike="noStrike">
              <a:solidFill>
                <a:srgbClr val="000000"/>
              </a:solidFill>
              <a:latin typeface="Aptos Narrow"/>
              <a:ea typeface="+mn-ea"/>
              <a:cs typeface="Arial"/>
            </a:rPr>
            <a:pPr marL="0" indent="0"/>
            <a:t>1521</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14</xdr:col>
      <xdr:colOff>472440</xdr:colOff>
      <xdr:row>20</xdr:row>
      <xdr:rowOff>7620</xdr:rowOff>
    </xdr:from>
    <xdr:to>
      <xdr:col>16</xdr:col>
      <xdr:colOff>252538</xdr:colOff>
      <xdr:row>21</xdr:row>
      <xdr:rowOff>128058</xdr:rowOff>
    </xdr:to>
    <xdr:sp macro="" textlink="Analysis!N15">
      <xdr:nvSpPr>
        <xdr:cNvPr id="103" name="TextBox 102">
          <a:extLst>
            <a:ext uri="{FF2B5EF4-FFF2-40B4-BE49-F238E27FC236}">
              <a16:creationId xmlns:a16="http://schemas.microsoft.com/office/drawing/2014/main" id="{7F4EC244-BBE1-488C-92E2-EEDA67537F0B}"/>
            </a:ext>
          </a:extLst>
        </xdr:cNvPr>
        <xdr:cNvSpPr txBox="1"/>
      </xdr:nvSpPr>
      <xdr:spPr>
        <a:xfrm>
          <a:off x="9006840" y="3749040"/>
          <a:ext cx="999298"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8DF8AF2-4602-4618-9EFF-E8EDF3C8E327}" type="TxLink">
            <a:rPr lang="en-US" sz="1100" b="1" i="0" u="none" strike="noStrike">
              <a:solidFill>
                <a:srgbClr val="000000"/>
              </a:solidFill>
              <a:latin typeface="Aptos Narrow"/>
              <a:ea typeface="+mn-ea"/>
              <a:cs typeface="Arial"/>
            </a:rPr>
            <a:pPr marL="0" indent="0"/>
            <a:t>1521</a:t>
          </a:fld>
          <a:endParaRPr lang="en-US" sz="1100" b="1" i="0" u="none" strike="noStrike">
            <a:solidFill>
              <a:srgbClr val="000000"/>
            </a:solidFill>
            <a:latin typeface="Aptos Narrow"/>
            <a:ea typeface="+mn-ea"/>
            <a:cs typeface="Arial"/>
          </a:endParaRPr>
        </a:p>
      </xdr:txBody>
    </xdr:sp>
    <xdr:clientData/>
  </xdr:twoCellAnchor>
  <xdr:twoCellAnchor editAs="absolute">
    <xdr:from>
      <xdr:col>16</xdr:col>
      <xdr:colOff>586740</xdr:colOff>
      <xdr:row>21</xdr:row>
      <xdr:rowOff>60960</xdr:rowOff>
    </xdr:from>
    <xdr:to>
      <xdr:col>17</xdr:col>
      <xdr:colOff>415290</xdr:colOff>
      <xdr:row>21</xdr:row>
      <xdr:rowOff>100965</xdr:rowOff>
    </xdr:to>
    <xdr:sp macro="" textlink="">
      <xdr:nvSpPr>
        <xdr:cNvPr id="104" name="Rectangle: Rounded Corners 103">
          <a:extLst>
            <a:ext uri="{FF2B5EF4-FFF2-40B4-BE49-F238E27FC236}">
              <a16:creationId xmlns:a16="http://schemas.microsoft.com/office/drawing/2014/main" id="{33848817-7E6A-4CCC-BFA7-B70CB7DD4C3D}"/>
            </a:ext>
          </a:extLst>
        </xdr:cNvPr>
        <xdr:cNvSpPr/>
      </xdr:nvSpPr>
      <xdr:spPr>
        <a:xfrm>
          <a:off x="10340340" y="3985260"/>
          <a:ext cx="438150" cy="4000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586740</xdr:colOff>
      <xdr:row>23</xdr:row>
      <xdr:rowOff>100965</xdr:rowOff>
    </xdr:from>
    <xdr:to>
      <xdr:col>17</xdr:col>
      <xdr:colOff>415290</xdr:colOff>
      <xdr:row>23</xdr:row>
      <xdr:rowOff>148590</xdr:rowOff>
    </xdr:to>
    <xdr:sp macro="" textlink="">
      <xdr:nvSpPr>
        <xdr:cNvPr id="105" name="Rectangle: Rounded Corners 104">
          <a:extLst>
            <a:ext uri="{FF2B5EF4-FFF2-40B4-BE49-F238E27FC236}">
              <a16:creationId xmlns:a16="http://schemas.microsoft.com/office/drawing/2014/main" id="{713477AA-66B6-478E-9D83-736E0E07040A}"/>
            </a:ext>
          </a:extLst>
        </xdr:cNvPr>
        <xdr:cNvSpPr/>
      </xdr:nvSpPr>
      <xdr:spPr>
        <a:xfrm>
          <a:off x="10340340" y="4391025"/>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586740</xdr:colOff>
      <xdr:row>25</xdr:row>
      <xdr:rowOff>148590</xdr:rowOff>
    </xdr:from>
    <xdr:to>
      <xdr:col>17</xdr:col>
      <xdr:colOff>415290</xdr:colOff>
      <xdr:row>26</xdr:row>
      <xdr:rowOff>13335</xdr:rowOff>
    </xdr:to>
    <xdr:sp macro="" textlink="">
      <xdr:nvSpPr>
        <xdr:cNvPr id="106" name="Rectangle: Rounded Corners 105">
          <a:extLst>
            <a:ext uri="{FF2B5EF4-FFF2-40B4-BE49-F238E27FC236}">
              <a16:creationId xmlns:a16="http://schemas.microsoft.com/office/drawing/2014/main" id="{D6D5D9F5-CB37-41E9-A496-043AE7FD1DFC}"/>
            </a:ext>
          </a:extLst>
        </xdr:cNvPr>
        <xdr:cNvSpPr/>
      </xdr:nvSpPr>
      <xdr:spPr>
        <a:xfrm>
          <a:off x="10340340" y="4804410"/>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367303</xdr:colOff>
      <xdr:row>30</xdr:row>
      <xdr:rowOff>6704</xdr:rowOff>
    </xdr:from>
    <xdr:to>
      <xdr:col>15</xdr:col>
      <xdr:colOff>327507</xdr:colOff>
      <xdr:row>31</xdr:row>
      <xdr:rowOff>127142</xdr:rowOff>
    </xdr:to>
    <xdr:sp macro="" textlink="Analysis!D9">
      <xdr:nvSpPr>
        <xdr:cNvPr id="107" name="TextBox 106">
          <a:extLst>
            <a:ext uri="{FF2B5EF4-FFF2-40B4-BE49-F238E27FC236}">
              <a16:creationId xmlns:a16="http://schemas.microsoft.com/office/drawing/2014/main" id="{4CF3945F-E984-4D2B-A639-789B6E70BEFD}"/>
            </a:ext>
          </a:extLst>
        </xdr:cNvPr>
        <xdr:cNvSpPr txBox="1"/>
      </xdr:nvSpPr>
      <xdr:spPr>
        <a:xfrm>
          <a:off x="8901703" y="5576924"/>
          <a:ext cx="569804"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A3699A0-0AEC-4BE1-958D-13C5498312DD}" type="TxLink">
            <a:rPr lang="en-US" sz="1200" b="1" i="1" u="none" strike="noStrike">
              <a:solidFill>
                <a:srgbClr val="21C587"/>
              </a:solidFill>
              <a:latin typeface="Aptos Narrow"/>
              <a:ea typeface="+mn-ea"/>
              <a:cs typeface="Arial"/>
            </a:rPr>
            <a:pPr marL="0" indent="0"/>
            <a:t>2019</a:t>
          </a:fld>
          <a:endParaRPr lang="en-US" sz="4000" b="1" i="1" u="none" strike="noStrike">
            <a:solidFill>
              <a:srgbClr val="21C587"/>
            </a:solidFill>
            <a:latin typeface="Aptos Narrow"/>
            <a:ea typeface="+mn-ea"/>
            <a:cs typeface="+mn-cs"/>
          </a:endParaRPr>
        </a:p>
      </xdr:txBody>
    </xdr:sp>
    <xdr:clientData/>
  </xdr:twoCellAnchor>
  <xdr:twoCellAnchor editAs="absolute">
    <xdr:from>
      <xdr:col>14</xdr:col>
      <xdr:colOff>367302</xdr:colOff>
      <xdr:row>31</xdr:row>
      <xdr:rowOff>104916</xdr:rowOff>
    </xdr:from>
    <xdr:to>
      <xdr:col>15</xdr:col>
      <xdr:colOff>327506</xdr:colOff>
      <xdr:row>33</xdr:row>
      <xdr:rowOff>42475</xdr:rowOff>
    </xdr:to>
    <xdr:sp macro="" textlink="Analysis!D10">
      <xdr:nvSpPr>
        <xdr:cNvPr id="108" name="TextBox 107">
          <a:extLst>
            <a:ext uri="{FF2B5EF4-FFF2-40B4-BE49-F238E27FC236}">
              <a16:creationId xmlns:a16="http://schemas.microsoft.com/office/drawing/2014/main" id="{CC001E8F-4B21-4DE0-BB68-9D26AFFAB906}"/>
            </a:ext>
          </a:extLst>
        </xdr:cNvPr>
        <xdr:cNvSpPr txBox="1"/>
      </xdr:nvSpPr>
      <xdr:spPr>
        <a:xfrm>
          <a:off x="8901702" y="5858016"/>
          <a:ext cx="569804"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7F6C7D0-F9D9-451E-8D35-7F767250C347}" type="TxLink">
            <a:rPr lang="en-US" sz="1200" b="1" i="1" u="none" strike="noStrike">
              <a:solidFill>
                <a:srgbClr val="21C587"/>
              </a:solidFill>
              <a:latin typeface="Aptos Narrow"/>
              <a:ea typeface="+mn-ea"/>
              <a:cs typeface="Arial"/>
            </a:rPr>
            <a:pPr marL="0" indent="0"/>
            <a:t>2020</a:t>
          </a:fld>
          <a:endParaRPr lang="en-US" sz="4000" b="1" i="1" u="none" strike="noStrike">
            <a:solidFill>
              <a:srgbClr val="21C587"/>
            </a:solidFill>
            <a:latin typeface="Aptos Narrow"/>
            <a:ea typeface="+mn-ea"/>
            <a:cs typeface="+mn-cs"/>
          </a:endParaRPr>
        </a:p>
      </xdr:txBody>
    </xdr:sp>
    <xdr:clientData/>
  </xdr:twoCellAnchor>
  <xdr:twoCellAnchor editAs="absolute">
    <xdr:from>
      <xdr:col>14</xdr:col>
      <xdr:colOff>365760</xdr:colOff>
      <xdr:row>33</xdr:row>
      <xdr:rowOff>6711</xdr:rowOff>
    </xdr:from>
    <xdr:to>
      <xdr:col>15</xdr:col>
      <xdr:colOff>325964</xdr:colOff>
      <xdr:row>34</xdr:row>
      <xdr:rowOff>127149</xdr:rowOff>
    </xdr:to>
    <xdr:sp macro="" textlink="Analysis!D11">
      <xdr:nvSpPr>
        <xdr:cNvPr id="109" name="TextBox 108">
          <a:extLst>
            <a:ext uri="{FF2B5EF4-FFF2-40B4-BE49-F238E27FC236}">
              <a16:creationId xmlns:a16="http://schemas.microsoft.com/office/drawing/2014/main" id="{F62E8196-9C80-40BE-80F6-2E039AC7D832}"/>
            </a:ext>
          </a:extLst>
        </xdr:cNvPr>
        <xdr:cNvSpPr txBox="1"/>
      </xdr:nvSpPr>
      <xdr:spPr>
        <a:xfrm>
          <a:off x="8900160" y="6125571"/>
          <a:ext cx="569804"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01A90BE-F487-4836-9915-4E2F24901A4E}" type="TxLink">
            <a:rPr lang="en-US" sz="1200" b="1" i="1" u="none" strike="noStrike">
              <a:solidFill>
                <a:srgbClr val="21C587"/>
              </a:solidFill>
              <a:latin typeface="Aptos Narrow"/>
              <a:ea typeface="+mn-ea"/>
              <a:cs typeface="Arial"/>
            </a:rPr>
            <a:pPr marL="0" indent="0"/>
            <a:t>2021</a:t>
          </a:fld>
          <a:endParaRPr lang="en-US" sz="4000" b="1" i="1" u="none" strike="noStrike">
            <a:solidFill>
              <a:srgbClr val="21C587"/>
            </a:solidFill>
            <a:latin typeface="Aptos Narrow"/>
            <a:ea typeface="+mn-ea"/>
            <a:cs typeface="+mn-cs"/>
          </a:endParaRPr>
        </a:p>
      </xdr:txBody>
    </xdr:sp>
    <xdr:clientData/>
  </xdr:twoCellAnchor>
  <xdr:twoCellAnchor editAs="absolute">
    <xdr:from>
      <xdr:col>16</xdr:col>
      <xdr:colOff>405402</xdr:colOff>
      <xdr:row>30</xdr:row>
      <xdr:rowOff>6704</xdr:rowOff>
    </xdr:from>
    <xdr:to>
      <xdr:col>18</xdr:col>
      <xdr:colOff>76200</xdr:colOff>
      <xdr:row>31</xdr:row>
      <xdr:rowOff>127142</xdr:rowOff>
    </xdr:to>
    <xdr:sp macro="" textlink="Analysis!T9">
      <xdr:nvSpPr>
        <xdr:cNvPr id="110" name="TextBox 109">
          <a:extLst>
            <a:ext uri="{FF2B5EF4-FFF2-40B4-BE49-F238E27FC236}">
              <a16:creationId xmlns:a16="http://schemas.microsoft.com/office/drawing/2014/main" id="{E1CDE8D5-A24A-4800-8463-B4514250151A}"/>
            </a:ext>
          </a:extLst>
        </xdr:cNvPr>
        <xdr:cNvSpPr txBox="1"/>
      </xdr:nvSpPr>
      <xdr:spPr>
        <a:xfrm>
          <a:off x="10159002" y="5576924"/>
          <a:ext cx="889998"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75E07C1-43E1-4ECB-8ED3-5D9C140D94AC}" type="TxLink">
            <a:rPr lang="en-US" sz="1200" b="1" i="0" u="none" strike="noStrike">
              <a:solidFill>
                <a:schemeClr val="bg2">
                  <a:lumMod val="50000"/>
                </a:schemeClr>
              </a:solidFill>
              <a:latin typeface="Aptos Narrow"/>
              <a:ea typeface="+mn-ea"/>
              <a:cs typeface="Arial"/>
            </a:rPr>
            <a:pPr marL="0" indent="0"/>
            <a:t>$1,521</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16</xdr:col>
      <xdr:colOff>405402</xdr:colOff>
      <xdr:row>31</xdr:row>
      <xdr:rowOff>104916</xdr:rowOff>
    </xdr:from>
    <xdr:to>
      <xdr:col>18</xdr:col>
      <xdr:colOff>190500</xdr:colOff>
      <xdr:row>33</xdr:row>
      <xdr:rowOff>42475</xdr:rowOff>
    </xdr:to>
    <xdr:sp macro="" textlink="Analysis!T10">
      <xdr:nvSpPr>
        <xdr:cNvPr id="111" name="TextBox 110">
          <a:extLst>
            <a:ext uri="{FF2B5EF4-FFF2-40B4-BE49-F238E27FC236}">
              <a16:creationId xmlns:a16="http://schemas.microsoft.com/office/drawing/2014/main" id="{747B9D66-D6C9-4E7B-8825-599F029CEFF7}"/>
            </a:ext>
          </a:extLst>
        </xdr:cNvPr>
        <xdr:cNvSpPr txBox="1"/>
      </xdr:nvSpPr>
      <xdr:spPr>
        <a:xfrm>
          <a:off x="10159002" y="5858016"/>
          <a:ext cx="1004298" cy="30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7D22FE9B-BD4B-43F8-9DF4-7BF8032595CE}" type="TxLink">
            <a:rPr lang="en-US" sz="1200" b="1" i="0" u="none" strike="noStrike">
              <a:solidFill>
                <a:schemeClr val="bg2">
                  <a:lumMod val="50000"/>
                </a:schemeClr>
              </a:solidFill>
              <a:latin typeface="Aptos Narrow"/>
              <a:ea typeface="+mn-ea"/>
              <a:cs typeface="Arial"/>
            </a:rPr>
            <a:pPr marL="0" indent="0"/>
            <a:t>$4,563</a:t>
          </a:fld>
          <a:endParaRPr lang="en-US" sz="1200" b="1" i="0" u="none" strike="noStrike">
            <a:solidFill>
              <a:schemeClr val="bg2">
                <a:lumMod val="50000"/>
              </a:schemeClr>
            </a:solidFill>
            <a:latin typeface="Aptos Narrow"/>
            <a:ea typeface="+mn-ea"/>
            <a:cs typeface="Arial"/>
          </a:endParaRPr>
        </a:p>
      </xdr:txBody>
    </xdr:sp>
    <xdr:clientData/>
  </xdr:twoCellAnchor>
  <xdr:twoCellAnchor editAs="absolute">
    <xdr:from>
      <xdr:col>16</xdr:col>
      <xdr:colOff>403860</xdr:colOff>
      <xdr:row>33</xdr:row>
      <xdr:rowOff>6711</xdr:rowOff>
    </xdr:from>
    <xdr:to>
      <xdr:col>18</xdr:col>
      <xdr:colOff>213360</xdr:colOff>
      <xdr:row>34</xdr:row>
      <xdr:rowOff>127149</xdr:rowOff>
    </xdr:to>
    <xdr:sp macro="" textlink="Analysis!T11">
      <xdr:nvSpPr>
        <xdr:cNvPr id="112" name="TextBox 111">
          <a:extLst>
            <a:ext uri="{FF2B5EF4-FFF2-40B4-BE49-F238E27FC236}">
              <a16:creationId xmlns:a16="http://schemas.microsoft.com/office/drawing/2014/main" id="{244C8FCD-D1B6-47F9-97E8-0C95EB68A6B7}"/>
            </a:ext>
          </a:extLst>
        </xdr:cNvPr>
        <xdr:cNvSpPr txBox="1"/>
      </xdr:nvSpPr>
      <xdr:spPr>
        <a:xfrm>
          <a:off x="10157460" y="6125571"/>
          <a:ext cx="1028700" cy="303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4DEE0B9-AB8E-477E-8019-6B7C1025FAC5}" type="TxLink">
            <a:rPr lang="en-US" sz="1200" b="1" i="0" u="none" strike="noStrike">
              <a:solidFill>
                <a:schemeClr val="bg2">
                  <a:lumMod val="50000"/>
                </a:schemeClr>
              </a:solidFill>
              <a:latin typeface="Aptos Narrow"/>
              <a:ea typeface="+mn-ea"/>
              <a:cs typeface="Arial"/>
            </a:rPr>
            <a:pPr marL="0" indent="0"/>
            <a:t>$6,591</a:t>
          </a:fld>
          <a:endParaRPr lang="en-US" sz="1200" b="1" i="0" u="none" strike="noStrike">
            <a:solidFill>
              <a:schemeClr val="bg2">
                <a:lumMod val="50000"/>
              </a:schemeClr>
            </a:solidFill>
            <a:latin typeface="Aptos Narrow"/>
            <a:ea typeface="+mn-ea"/>
            <a:cs typeface="Arial"/>
          </a:endParaRPr>
        </a:p>
      </xdr:txBody>
    </xdr:sp>
    <xdr:clientData/>
  </xdr:twoCellAnchor>
  <xdr:twoCellAnchor>
    <xdr:from>
      <xdr:col>15</xdr:col>
      <xdr:colOff>220980</xdr:colOff>
      <xdr:row>31</xdr:row>
      <xdr:rowOff>7620</xdr:rowOff>
    </xdr:from>
    <xdr:to>
      <xdr:col>16</xdr:col>
      <xdr:colOff>76200</xdr:colOff>
      <xdr:row>31</xdr:row>
      <xdr:rowOff>106680</xdr:rowOff>
    </xdr:to>
    <xdr:sp macro="" textlink="">
      <xdr:nvSpPr>
        <xdr:cNvPr id="113" name="Rectangle: Rounded Corners 112">
          <a:extLst>
            <a:ext uri="{FF2B5EF4-FFF2-40B4-BE49-F238E27FC236}">
              <a16:creationId xmlns:a16="http://schemas.microsoft.com/office/drawing/2014/main" id="{EA7821EE-4F44-D588-9873-3188A9E8DA94}"/>
            </a:ext>
          </a:extLst>
        </xdr:cNvPr>
        <xdr:cNvSpPr/>
      </xdr:nvSpPr>
      <xdr:spPr>
        <a:xfrm>
          <a:off x="9364980" y="5676900"/>
          <a:ext cx="464820" cy="99060"/>
        </a:xfrm>
        <a:prstGeom prst="roundRect">
          <a:avLst>
            <a:gd name="adj" fmla="val 50000"/>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213360</xdr:colOff>
      <xdr:row>32</xdr:row>
      <xdr:rowOff>114300</xdr:rowOff>
    </xdr:from>
    <xdr:to>
      <xdr:col>16</xdr:col>
      <xdr:colOff>236220</xdr:colOff>
      <xdr:row>33</xdr:row>
      <xdr:rowOff>31088</xdr:rowOff>
    </xdr:to>
    <xdr:sp macro="" textlink="">
      <xdr:nvSpPr>
        <xdr:cNvPr id="114" name="Rectangle: Rounded Corners 113">
          <a:extLst>
            <a:ext uri="{FF2B5EF4-FFF2-40B4-BE49-F238E27FC236}">
              <a16:creationId xmlns:a16="http://schemas.microsoft.com/office/drawing/2014/main" id="{7EFDFF66-B57A-4A68-9BA4-BE8A81C73F77}"/>
            </a:ext>
          </a:extLst>
        </xdr:cNvPr>
        <xdr:cNvSpPr/>
      </xdr:nvSpPr>
      <xdr:spPr>
        <a:xfrm>
          <a:off x="9357360" y="5966460"/>
          <a:ext cx="632460" cy="99668"/>
        </a:xfrm>
        <a:prstGeom prst="roundRect">
          <a:avLst>
            <a:gd name="adj" fmla="val 50000"/>
          </a:avLst>
        </a:prstGeom>
        <a:solidFill>
          <a:srgbClr val="21C58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236220</xdr:colOff>
      <xdr:row>33</xdr:row>
      <xdr:rowOff>175260</xdr:rowOff>
    </xdr:from>
    <xdr:to>
      <xdr:col>16</xdr:col>
      <xdr:colOff>441960</xdr:colOff>
      <xdr:row>34</xdr:row>
      <xdr:rowOff>99668</xdr:rowOff>
    </xdr:to>
    <xdr:sp macro="" textlink="">
      <xdr:nvSpPr>
        <xdr:cNvPr id="115" name="Rectangle: Rounded Corners 114">
          <a:extLst>
            <a:ext uri="{FF2B5EF4-FFF2-40B4-BE49-F238E27FC236}">
              <a16:creationId xmlns:a16="http://schemas.microsoft.com/office/drawing/2014/main" id="{05C51E5D-8F52-4083-8312-C291C00E5D7E}"/>
            </a:ext>
          </a:extLst>
        </xdr:cNvPr>
        <xdr:cNvSpPr/>
      </xdr:nvSpPr>
      <xdr:spPr>
        <a:xfrm>
          <a:off x="9380220" y="6210300"/>
          <a:ext cx="815340" cy="107288"/>
        </a:xfrm>
        <a:prstGeom prst="roundRect">
          <a:avLst>
            <a:gd name="adj" fmla="val 50000"/>
          </a:avLst>
        </a:prstGeom>
        <a:solidFill>
          <a:srgbClr val="C30D5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xdr:colOff>
      <xdr:row>8</xdr:row>
      <xdr:rowOff>129540</xdr:rowOff>
    </xdr:from>
    <xdr:to>
      <xdr:col>2</xdr:col>
      <xdr:colOff>579120</xdr:colOff>
      <xdr:row>35</xdr:row>
      <xdr:rowOff>137160</xdr:rowOff>
    </xdr:to>
    <xdr:grpSp>
      <xdr:nvGrpSpPr>
        <xdr:cNvPr id="119" name="country">
          <a:extLst>
            <a:ext uri="{FF2B5EF4-FFF2-40B4-BE49-F238E27FC236}">
              <a16:creationId xmlns:a16="http://schemas.microsoft.com/office/drawing/2014/main" id="{B69AE90E-CD90-C114-20A0-CC0F044C6DFA}"/>
            </a:ext>
          </a:extLst>
        </xdr:cNvPr>
        <xdr:cNvGrpSpPr/>
      </xdr:nvGrpSpPr>
      <xdr:grpSpPr>
        <a:xfrm>
          <a:off x="28575" y="1676400"/>
          <a:ext cx="1769745" cy="4945380"/>
          <a:chOff x="28575" y="1676400"/>
          <a:chExt cx="1769745" cy="4945380"/>
        </a:xfrm>
      </xdr:grpSpPr>
      <mc:AlternateContent xmlns:mc="http://schemas.openxmlformats.org/markup-compatibility/2006" xmlns:a14="http://schemas.microsoft.com/office/drawing/2010/main">
        <mc:Choice Requires="a14">
          <xdr:graphicFrame macro="">
            <xdr:nvGraphicFramePr>
              <xdr:cNvPr id="48" name="County 1">
                <a:extLst>
                  <a:ext uri="{FF2B5EF4-FFF2-40B4-BE49-F238E27FC236}">
                    <a16:creationId xmlns:a16="http://schemas.microsoft.com/office/drawing/2014/main" id="{B9C67EAB-BEE3-4988-AD00-798D4DB3EB99}"/>
                  </a:ext>
                </a:extLst>
              </xdr:cNvPr>
              <xdr:cNvGraphicFramePr/>
            </xdr:nvGraphicFramePr>
            <xdr:xfrm>
              <a:off x="28575" y="2453640"/>
              <a:ext cx="1762125" cy="4168140"/>
            </xdr:xfrm>
            <a:graphic>
              <a:graphicData uri="http://schemas.microsoft.com/office/drawing/2010/slicer">
                <sle:slicer xmlns:sle="http://schemas.microsoft.com/office/drawing/2010/slicer" name="County 1"/>
              </a:graphicData>
            </a:graphic>
          </xdr:graphicFrame>
        </mc:Choice>
        <mc:Fallback xmlns="">
          <xdr:sp macro="" textlink="">
            <xdr:nvSpPr>
              <xdr:cNvPr id="0" name=""/>
              <xdr:cNvSpPr>
                <a:spLocks noTextEdit="1"/>
              </xdr:cNvSpPr>
            </xdr:nvSpPr>
            <xdr:spPr>
              <a:xfrm>
                <a:off x="28575" y="2453640"/>
                <a:ext cx="1762125" cy="4168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17" name="Rectangle: Rounded Corners 116">
            <a:extLst>
              <a:ext uri="{FF2B5EF4-FFF2-40B4-BE49-F238E27FC236}">
                <a16:creationId xmlns:a16="http://schemas.microsoft.com/office/drawing/2014/main" id="{A227F718-E395-7318-F6B3-FB9DDD341C21}"/>
              </a:ext>
            </a:extLst>
          </xdr:cNvPr>
          <xdr:cNvSpPr/>
        </xdr:nvSpPr>
        <xdr:spPr>
          <a:xfrm>
            <a:off x="38100" y="1676400"/>
            <a:ext cx="1760220" cy="480060"/>
          </a:xfrm>
          <a:prstGeom prst="roundRect">
            <a:avLst>
              <a:gd name="adj" fmla="val 943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2">
                    <a:lumMod val="50000"/>
                  </a:schemeClr>
                </a:solidFill>
              </a:rPr>
              <a:t>Country filter</a:t>
            </a:r>
          </a:p>
        </xdr:txBody>
      </xdr:sp>
    </xdr:grpSp>
    <xdr:clientData/>
  </xdr:twoCellAnchor>
  <xdr:twoCellAnchor>
    <xdr:from>
      <xdr:col>18</xdr:col>
      <xdr:colOff>38100</xdr:colOff>
      <xdr:row>8</xdr:row>
      <xdr:rowOff>91440</xdr:rowOff>
    </xdr:from>
    <xdr:to>
      <xdr:col>21</xdr:col>
      <xdr:colOff>0</xdr:colOff>
      <xdr:row>35</xdr:row>
      <xdr:rowOff>91440</xdr:rowOff>
    </xdr:to>
    <xdr:grpSp>
      <xdr:nvGrpSpPr>
        <xdr:cNvPr id="120" name="Product">
          <a:extLst>
            <a:ext uri="{FF2B5EF4-FFF2-40B4-BE49-F238E27FC236}">
              <a16:creationId xmlns:a16="http://schemas.microsoft.com/office/drawing/2014/main" id="{784896BA-59BE-F77B-7904-8FC0B8A37CF5}"/>
            </a:ext>
          </a:extLst>
        </xdr:cNvPr>
        <xdr:cNvGrpSpPr/>
      </xdr:nvGrpSpPr>
      <xdr:grpSpPr>
        <a:xfrm>
          <a:off x="11010900" y="1638300"/>
          <a:ext cx="1790700" cy="4937760"/>
          <a:chOff x="11010900" y="1638300"/>
          <a:chExt cx="1790700" cy="4937760"/>
        </a:xfrm>
      </xdr:grpSpPr>
      <mc:AlternateContent xmlns:mc="http://schemas.openxmlformats.org/markup-compatibility/2006" xmlns:a14="http://schemas.microsoft.com/office/drawing/2010/main">
        <mc:Choice Requires="a14">
          <xdr:graphicFrame macro="">
            <xdr:nvGraphicFramePr>
              <xdr:cNvPr id="116" name="Product Name 1">
                <a:extLst>
                  <a:ext uri="{FF2B5EF4-FFF2-40B4-BE49-F238E27FC236}">
                    <a16:creationId xmlns:a16="http://schemas.microsoft.com/office/drawing/2014/main" id="{0618CCD6-14F6-42C9-9AF3-13A88DEDF9A1}"/>
                  </a:ext>
                </a:extLst>
              </xdr:cNvPr>
              <xdr:cNvGraphicFramePr/>
            </xdr:nvGraphicFramePr>
            <xdr:xfrm>
              <a:off x="11058525" y="2348865"/>
              <a:ext cx="1743075" cy="4227195"/>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11058525" y="2348865"/>
                <a:ext cx="1743075" cy="42271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18" name="Rectangle: Rounded Corners 117">
            <a:extLst>
              <a:ext uri="{FF2B5EF4-FFF2-40B4-BE49-F238E27FC236}">
                <a16:creationId xmlns:a16="http://schemas.microsoft.com/office/drawing/2014/main" id="{A00A85F8-A913-46E9-AAF8-E33760C789E7}"/>
              </a:ext>
            </a:extLst>
          </xdr:cNvPr>
          <xdr:cNvSpPr/>
        </xdr:nvSpPr>
        <xdr:spPr>
          <a:xfrm>
            <a:off x="11010900" y="1638300"/>
            <a:ext cx="1760220" cy="480060"/>
          </a:xfrm>
          <a:prstGeom prst="roundRect">
            <a:avLst>
              <a:gd name="adj" fmla="val 943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2">
                    <a:lumMod val="50000"/>
                  </a:schemeClr>
                </a:solidFill>
              </a:rPr>
              <a:t>Product Filter</a:t>
            </a:r>
          </a:p>
          <a:p>
            <a:pPr algn="l"/>
            <a:endParaRPr lang="en-US" sz="1200"/>
          </a:p>
        </xdr:txBody>
      </xdr:sp>
    </xdr:grpSp>
    <xdr:clientData/>
  </xdr:twoCellAnchor>
  <xdr:twoCellAnchor editAs="absolute">
    <xdr:from>
      <xdr:col>17</xdr:col>
      <xdr:colOff>306743</xdr:colOff>
      <xdr:row>0</xdr:row>
      <xdr:rowOff>58103</xdr:rowOff>
    </xdr:from>
    <xdr:to>
      <xdr:col>18</xdr:col>
      <xdr:colOff>23393</xdr:colOff>
      <xdr:row>1</xdr:row>
      <xdr:rowOff>110033</xdr:rowOff>
    </xdr:to>
    <xdr:pic macro="[1]!Clear_filter">
      <xdr:nvPicPr>
        <xdr:cNvPr id="121" name="Graphic 120" descr="Back">
          <a:extLst>
            <a:ext uri="{FF2B5EF4-FFF2-40B4-BE49-F238E27FC236}">
              <a16:creationId xmlns:a16="http://schemas.microsoft.com/office/drawing/2014/main" id="{56B445AB-9E7E-49EB-9977-5B6E6B49AA7F}"/>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10669943" y="58103"/>
          <a:ext cx="326250" cy="318630"/>
        </a:xfrm>
        <a:prstGeom prst="rect">
          <a:avLst/>
        </a:prstGeom>
      </xdr:spPr>
    </xdr:pic>
    <xdr:clientData/>
  </xdr:twoCellAnchor>
  <xdr:twoCellAnchor editAs="oneCell">
    <xdr:from>
      <xdr:col>15</xdr:col>
      <xdr:colOff>384810</xdr:colOff>
      <xdr:row>0</xdr:row>
      <xdr:rowOff>57150</xdr:rowOff>
    </xdr:from>
    <xdr:to>
      <xdr:col>16</xdr:col>
      <xdr:colOff>116700</xdr:colOff>
      <xdr:row>1</xdr:row>
      <xdr:rowOff>109080</xdr:rowOff>
    </xdr:to>
    <xdr:pic macro="[1]!Country_open">
      <xdr:nvPicPr>
        <xdr:cNvPr id="122" name="Open_filter" descr="Unlock">
          <a:extLst>
            <a:ext uri="{FF2B5EF4-FFF2-40B4-BE49-F238E27FC236}">
              <a16:creationId xmlns:a16="http://schemas.microsoft.com/office/drawing/2014/main" id="{E9583B91-2997-4604-AD01-A6FD6BD2A935}"/>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9528810" y="57150"/>
          <a:ext cx="341490" cy="318630"/>
        </a:xfrm>
        <a:prstGeom prst="rect">
          <a:avLst/>
        </a:prstGeom>
      </xdr:spPr>
    </xdr:pic>
    <xdr:clientData/>
  </xdr:twoCellAnchor>
  <xdr:twoCellAnchor editAs="oneCell">
    <xdr:from>
      <xdr:col>15</xdr:col>
      <xdr:colOff>384810</xdr:colOff>
      <xdr:row>0</xdr:row>
      <xdr:rowOff>57150</xdr:rowOff>
    </xdr:from>
    <xdr:to>
      <xdr:col>16</xdr:col>
      <xdr:colOff>116700</xdr:colOff>
      <xdr:row>1</xdr:row>
      <xdr:rowOff>109080</xdr:rowOff>
    </xdr:to>
    <xdr:pic macro="[0]!Clear_filters">
      <xdr:nvPicPr>
        <xdr:cNvPr id="124" name="Close_filter" descr="Unlock">
          <a:extLst>
            <a:ext uri="{FF2B5EF4-FFF2-40B4-BE49-F238E27FC236}">
              <a16:creationId xmlns:a16="http://schemas.microsoft.com/office/drawing/2014/main" id="{AAD092AB-67D6-4584-9AD7-9B03FA7D3584}"/>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9528810" y="57150"/>
          <a:ext cx="341490" cy="3186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ashboard.xlsm" TargetMode="External"/><Relationship Id="rId2" Type="http://schemas.openxmlformats.org/officeDocument/2006/relationships/externalLinkPath" Target="file:///C:\Users\Asus\Desktop\Excel%20Tutorials\Tutorial%204%20-%20Seles%20Analysis\Dashboard.xlsm" TargetMode="External"/><Relationship Id="rId1" Type="http://schemas.openxmlformats.org/officeDocument/2006/relationships/externalLinkPath" Target="/Users/Asus/Desktop/Excel%20Tutorials/Tutorial%204%20-%20Seles%20Analysis/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Analysis 1"/>
      <sheetName val="Analysis 2"/>
      <sheetName val="Anaysis 3"/>
      <sheetName val="Dashboard"/>
      <sheetName val="Icons"/>
    </sheetNames>
    <definedNames>
      <definedName name="Clear_filter"/>
      <definedName name="Country_open"/>
    </definedNames>
    <sheetDataSet>
      <sheetData sheetId="0"/>
      <sheetData sheetId="1"/>
      <sheetData sheetId="2"/>
      <sheetData sheetId="3"/>
      <sheetData sheetId="4"/>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5972222" createdVersion="5" refreshedVersion="8" minRefreshableVersion="3" recordCount="0" supportSubquery="1" supportAdvancedDrill="1" xr:uid="{1D961891-98E3-49D7-8496-91794F0A5843}">
  <cacheSource type="external" connectionId="10"/>
  <cacheFields count="5">
    <cacheField name="[Measures].[Total customers]" caption="Total customers" numFmtId="0" hierarchy="26" level="32767"/>
    <cacheField name="[Measures].[Total product]" caption="Total product" numFmtId="0" hierarchy="28" level="32767"/>
    <cacheField name="[Measures].[Total country]" caption="Total country" numFmtId="0" hierarchy="29" level="32767"/>
    <cacheField name="[Measures].[All Transaction]" caption="All Transaction" numFmtId="0" hierarchy="30" level="32767"/>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4"/>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cacheHierarchy uniqueName="[Measures].[Total customers]" caption="Total customers" measure="1" displayFolder="" measureGroup="FactTable" count="0" oneField="1">
      <fieldsUsage count="1">
        <fieldUsage x="0"/>
      </fieldsUsage>
    </cacheHierarchy>
    <cacheHierarchy uniqueName="[Measures].[Total Products]" caption="Total Products" measure="1" displayFolder="" measureGroup="FactTable" count="0"/>
    <cacheHierarchy uniqueName="[Measures].[Total product]" caption="Total product" measure="1" displayFolder="" measureGroup="FactTable" count="0" oneField="1">
      <fieldsUsage count="1">
        <fieldUsage x="1"/>
      </fieldsUsage>
    </cacheHierarchy>
    <cacheHierarchy uniqueName="[Measures].[Total country]" caption="Total country" measure="1" displayFolder="" measureGroup="FactTable" count="0" oneField="1">
      <fieldsUsage count="1">
        <fieldUsage x="2"/>
      </fieldsUsage>
    </cacheHierarchy>
    <cacheHierarchy uniqueName="[Measures].[All Transaction]" caption="All Transaction" measure="1" displayFolder="" measureGroup="FactTable" count="0" oneField="1">
      <fieldsUsage count="1">
        <fieldUsage x="3"/>
      </fieldsUsage>
    </cacheHierarchy>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0416666" createdVersion="5" refreshedVersion="8" minRefreshableVersion="3" recordCount="0" supportSubquery="1" supportAdvancedDrill="1" xr:uid="{523A3B93-3225-4D29-A461-2D3C8EDA82E7}">
  <cacheSource type="external" connectionId="10"/>
  <cacheFields count="6">
    <cacheField name="[Measures].[Sum of Quantity]" caption="Sum of Quantity" numFmtId="0" hierarchy="37" level="32767"/>
    <cacheField name="[Measures].[Revenue]" caption="Revenue" numFmtId="0" hierarchy="23" level="32767"/>
    <cacheField name="[Measures].[COGS]" caption="COGS" numFmtId="0" hierarchy="24" level="32767"/>
    <cacheField name="[Measures].[Net Profit]" caption="Net Profit" numFmtId="0" hierarchy="25" level="32767"/>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4"/>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5"/>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oneField="1">
      <fieldsUsage count="1">
        <fieldUsage x="1"/>
      </fieldsUsage>
    </cacheHierarchy>
    <cacheHierarchy uniqueName="[Measures].[COGS]" caption="COGS" measure="1" displayFolder="" measureGroup="FactTable" count="0" oneField="1">
      <fieldsUsage count="1">
        <fieldUsage x="2"/>
      </fieldsUsage>
    </cacheHierarchy>
    <cacheHierarchy uniqueName="[Measures].[Net Profit]" caption="Net Profit" measure="1" displayFolder="" measureGroup="FactTable" count="0" oneField="1">
      <fieldsUsage count="1">
        <fieldUsage x="3"/>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oneField="1" hidden="1">
      <fieldsUsage count="1">
        <fieldUsage x="0"/>
      </fieldsUsage>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0995374" createdVersion="5" refreshedVersion="8" minRefreshableVersion="3" recordCount="0" supportSubquery="1" supportAdvancedDrill="1" xr:uid="{DE1FCC9A-4197-4233-B347-3583128A0AC8}">
  <cacheSource type="external" connectionId="10"/>
  <cacheFields count="4">
    <cacheField name="[Measures].[Sum of Quantity]" caption="Sum of Quantity" numFmtId="0" hierarchy="37" level="32767"/>
    <cacheField name="[FactTable].[Purchase Date (Month)].[Purchase Date (Month)]" caption="Purchase Date (Month)" numFmtId="0" hierarchy="12" level="1">
      <sharedItems count="6">
        <s v="Feb"/>
        <s v="Mar"/>
        <s v="Jun"/>
        <s v="Sep"/>
        <s v="Nov"/>
        <s v="Dec"/>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1"/>
      </fieldsUsage>
    </cacheHierarchy>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oneField="1" hidden="1">
      <fieldsUsage count="1">
        <fieldUsage x="0"/>
      </fieldsUsage>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1574074" createdVersion="5" refreshedVersion="8" minRefreshableVersion="3" recordCount="0" supportSubquery="1" supportAdvancedDrill="1" xr:uid="{FA878B8F-CDD8-4402-BA8A-3368D542228C}">
  <cacheSource type="external" connectionId="10"/>
  <cacheFields count="4">
    <cacheField name="[FactTable].[Purchase Date (Month)].[Purchase Date (Month)]" caption="Purchase Date (Month)" numFmtId="0" hierarchy="12" level="1">
      <sharedItems count="6">
        <s v="Feb"/>
        <s v="Mar"/>
        <s v="Jun"/>
        <s v="Sep"/>
        <s v="Nov"/>
        <s v="Dec"/>
      </sharedItems>
    </cacheField>
    <cacheField name="[Measures].[Revenue]" caption="Revenue" numFmtId="0" hierarchy="23" level="32767"/>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Source.Name]" caption="Source.Name" attribute="1" defaultMemberUniqueName="[FactTable].[Source.Name].[All]" allUniqueName="[FactTable].[Source.Name].[All]" dimensionUniqueName="[FactTable]"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Name]" caption="Name" attribute="1" defaultMemberUniqueName="[Location_Data].[Name].[All]" allUniqueName="[Location_Data].[Name].[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0"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0"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0"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0"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0"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Revenue]" caption="Revenue" measure="1" displayFolder="" measureGroup="FactTable" count="0" oneField="1">
      <fieldsUsage count="1">
        <fieldUsage x="1"/>
      </fieldsUsage>
    </cacheHierarchy>
    <cacheHierarchy uniqueName="[Measures].[COGS]" caption="COGS" measure="1" displayFolder="" measureGroup="FactTable" count="0"/>
    <cacheHierarchy uniqueName="[Measures].[Net Profit]" caption="Net Profit" measure="1" displayFolder="" measureGroup="FactTable" count="0"/>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1921298" createdVersion="5" refreshedVersion="8" minRefreshableVersion="3" recordCount="0" supportSubquery="1" supportAdvancedDrill="1" xr:uid="{9C0E2C13-9D21-4ED1-9D65-DB76366AE850}">
  <cacheSource type="external" connectionId="10"/>
  <cacheFields count="4">
    <cacheField name="[FactTable].[Purchase Date (Month)].[Purchase Date (Month)]" caption="Purchase Date (Month)" numFmtId="0" hierarchy="12" level="1">
      <sharedItems count="6">
        <s v="Feb"/>
        <s v="Mar"/>
        <s v="Jun"/>
        <s v="Sep"/>
        <s v="Nov"/>
        <s v="Dec"/>
      </sharedItems>
    </cacheField>
    <cacheField name="[Measures].[COGS]" caption="COGS" numFmtId="0" hierarchy="24" level="32767"/>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Source.Name]" caption="Source.Name" attribute="1" defaultMemberUniqueName="[FactTable].[Source.Name].[All]" allUniqueName="[FactTable].[Source.Name].[All]" dimensionUniqueName="[FactTable]"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Name]" caption="Name" attribute="1" defaultMemberUniqueName="[Location_Data].[Name].[All]" allUniqueName="[Location_Data].[Name].[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0"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0"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0"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0"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0"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Revenue]" caption="Revenue" measure="1" displayFolder="" measureGroup="FactTable" count="0"/>
    <cacheHierarchy uniqueName="[Measures].[COGS]" caption="COGS" measure="1" displayFolder="" measureGroup="FactTable" count="0" oneField="1">
      <fieldsUsage count="1">
        <fieldUsage x="1"/>
      </fieldsUsage>
    </cacheHierarchy>
    <cacheHierarchy uniqueName="[Measures].[Net Profit]" caption="Net Profit" measure="1" displayFolder="" measureGroup="FactTable" count="0"/>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2615744" createdVersion="5" refreshedVersion="8" minRefreshableVersion="3" recordCount="0" supportSubquery="1" supportAdvancedDrill="1" xr:uid="{3CA66E4E-4A37-4115-ABC7-C0834902CF78}">
  <cacheSource type="external" connectionId="10"/>
  <cacheFields count="4">
    <cacheField name="[FactTable].[Purchase Date (Month)].[Purchase Date (Month)]" caption="Purchase Date (Month)" numFmtId="0" hierarchy="12" level="1">
      <sharedItems count="6">
        <s v="Feb"/>
        <s v="Mar"/>
        <s v="Jun"/>
        <s v="Sep"/>
        <s v="Nov"/>
        <s v="Dec"/>
      </sharedItems>
    </cacheField>
    <cacheField name="[Measures].[Net Profit]" caption="Net Profit" numFmtId="0" hierarchy="25" level="32767"/>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Source.Name]" caption="Source.Name" attribute="1" defaultMemberUniqueName="[FactTable].[Source.Name].[All]" allUniqueName="[FactTable].[Source.Name].[All]" dimensionUniqueName="[FactTable]"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Name]" caption="Name" attribute="1" defaultMemberUniqueName="[Location_Data].[Name].[All]" allUniqueName="[Location_Data].[Name].[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0"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0"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0"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0"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0"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1"/>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3078706" createdVersion="5" refreshedVersion="8" minRefreshableVersion="3" recordCount="0" supportSubquery="1" supportAdvancedDrill="1" xr:uid="{8A91C08F-2CC0-48A0-A986-80F4FDE26A8A}">
  <cacheSource type="external" connectionId="10"/>
  <cacheFields count="5">
    <cacheField name="[Measures].[Net Profit]" caption="Net Profit" numFmtId="0" hierarchy="25" level="32767"/>
    <cacheField name="[FactTable].[Purchase Date (Year)].[Purchase Date (Year)]" caption="Purchase Date (Year)" numFmtId="0" hierarchy="10" level="1">
      <sharedItems count="3">
        <s v="2019"/>
        <s v="2020"/>
        <s v="2021"/>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 name="Unsupported0" numFmtId="0" hierarchy="38" level="32767">
      <extLst>
        <ext xmlns:x14="http://schemas.microsoft.com/office/spreadsheetml/2009/9/main" uri="{63CAB8AC-B538-458d-9737-405883B0398D}">
          <x14:cacheField ignore="1"/>
        </ext>
      </extLst>
    </cacheField>
  </cacheFields>
  <cacheHierarchies count="39">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1"/>
      </fieldsUsage>
    </cacheHierarchy>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0"/>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y uniqueName="Unsupported0" caption="Customer ID" measure="1" count="0">
      <extLst>
        <ext xmlns:x14="http://schemas.microsoft.com/office/spreadsheetml/2009/9/main" uri="{8CF416AD-EC4C-4aba-99F5-12A058AE0983}">
          <x14:cacheHierarchy ignore="1"/>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3888891" createdVersion="5" refreshedVersion="8" minRefreshableVersion="3" recordCount="0" supportSubquery="1" supportAdvancedDrill="1" xr:uid="{12E432A0-0593-42F3-8C93-2B28B5DA70EB}">
  <cacheSource type="external" connectionId="10"/>
  <cacheFields count="4">
    <cacheField name="[Measures].[Net Profit]" caption="Net Profit" numFmtId="0" hierarchy="25" level="32767"/>
    <cacheField name="[FactTable].[Purchase Date (Month)].[Purchase Date (Month)]" caption="Purchase Date (Month)" numFmtId="0" hierarchy="12" level="1">
      <sharedItems count="6">
        <s v="Feb"/>
        <s v="Mar"/>
        <s v="Jun"/>
        <s v="Sep"/>
        <s v="Nov"/>
        <s v="Dec"/>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1"/>
      </fieldsUsage>
    </cacheHierarchy>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0"/>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4583331" createdVersion="5" refreshedVersion="8" minRefreshableVersion="3" recordCount="0" supportSubquery="1" supportAdvancedDrill="1" xr:uid="{CE0B64DF-046F-499B-BCD9-D001C5EE0C47}">
  <cacheSource type="external" connectionId="10"/>
  <cacheFields count="4">
    <cacheField name="[Measures].[Net Profit]" caption="Net Profit" numFmtId="0" hierarchy="25" level="32767"/>
    <cacheField name="[FactTable].[Purchase Date (Quarter)].[Purchase Date (Quarter)]" caption="Purchase Date (Quarter)" numFmtId="0" hierarchy="11" level="1">
      <sharedItems count="4">
        <s v="Qtr1"/>
        <s v="Qtr2"/>
        <s v="Qtr3"/>
        <s v="Qtr4"/>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fieldsUsage count="2">
        <fieldUsage x="-1"/>
        <fieldUsage x="1"/>
      </fieldsUsage>
    </cacheHierarchy>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0"/>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5162038" createdVersion="5" refreshedVersion="8" minRefreshableVersion="3" recordCount="0" supportSubquery="1" supportAdvancedDrill="1" xr:uid="{E4265B99-6839-4EDC-873C-2A05FAFAFF92}">
  <cacheSource type="external" connectionId="10"/>
  <cacheFields count="4">
    <cacheField name="[Measures].[Net Profit]" caption="Net Profit" numFmtId="0" hierarchy="25" level="32767"/>
    <cacheField name="[Customer_Data].[Customer Name].[Customer Name]" caption="Customer Name" numFmtId="0" hierarchy="1" level="1">
      <sharedItems count="3">
        <s v="Daniel Barnes"/>
        <s v="James Simmons"/>
        <s v="Johnny Andrews"/>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0"/>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5740739" createdVersion="5" refreshedVersion="8" minRefreshableVersion="3" recordCount="0" supportSubquery="1" supportAdvancedDrill="1" xr:uid="{B3A850C2-0772-4818-AAB4-9EFBFC58493F}">
  <cacheSource type="external" connectionId="10"/>
  <cacheFields count="4">
    <cacheField name="[Measures].[Net Profit]" caption="Net Profit" numFmtId="0" hierarchy="25" level="32767"/>
    <cacheField name="[Customer_Data].[Customer Name].[Customer Name]" caption="Customer Name" numFmtId="0" hierarchy="1" level="1">
      <sharedItems count="3">
        <s v="Brandon Martin"/>
        <s v="Howard Lewis"/>
        <s v="Ralph Olson"/>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2"/>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3"/>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0"/>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2.862866435185" createdVersion="5" refreshedVersion="8" minRefreshableVersion="3" recordCount="0" supportSubquery="1" supportAdvancedDrill="1" xr:uid="{C4D627C7-A710-466C-AF08-18A285272C3E}">
  <cacheSource type="external" connectionId="10"/>
  <cacheFields count="5">
    <cacheField name="[Measures].[Net Profit]" caption="Net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0" level="1">
      <sharedItems count="3">
        <s v="2019"/>
        <s v="2020"/>
        <s v="2021"/>
      </sharedItems>
    </cacheField>
    <cacheField name="[Location_Data].[County].[County]" caption="County" numFmtId="0" hierarchy="15" level="1">
      <sharedItems containsSemiMixedTypes="0" containsNonDate="0" containsString="0"/>
    </cacheField>
    <cacheField name="[Product_Data].[Product Name].[Product Name]" caption="Product Name" numFmtId="0" hierarchy="17" level="1">
      <sharedItems containsSemiMixedTypes="0" containsNonDate="0" containsString="0"/>
    </cacheField>
  </cacheFields>
  <cacheHierarchies count="38">
    <cacheHierarchy uniqueName="[Customer_Data].[Customer ID]" caption="Customer ID" attribute="1" defaultMemberUniqueName="[Customer_Data].[Customer ID].[All]" allUniqueName="[Customer_Data].[Customer ID].[All]" dimensionUniqueName="[Customer_Data]" displayFolder="" count="2"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Source.Name]" caption="Source.Name" attribute="1" defaultMemberUniqueName="[FactTable].[Source.Name].[All]" allUniqueName="[FactTable].[Source.Name].[All]" dimensionUniqueName="[FactTable]" displayFolder="" count="2" memberValueDatatype="130" unbalanced="0"/>
    <cacheHierarchy uniqueName="[FactTable].[Order ID]" caption="Order ID" attribute="1" defaultMemberUniqueName="[FactTable].[Order ID].[All]" allUniqueName="[FactTable].[Order ID].[All]" dimensionUniqueName="[FactTable]" displayFolder="" count="2" memberValueDatatype="130" unbalanced="0"/>
    <cacheHierarchy uniqueName="[FactTable].[Product ID]" caption="Product ID" attribute="1" defaultMemberUniqueName="[FactTable].[Product ID].[All]" allUniqueName="[FactTable].[Product ID].[All]" dimensionUniqueName="[FactTable]" displayFolder="" count="2" memberValueDatatype="130" unbalanced="0"/>
    <cacheHierarchy uniqueName="[FactTable].[Location ID]" caption="Location ID" attribute="1" defaultMemberUniqueName="[FactTable].[Location ID].[All]" allUniqueName="[FactTable].[Location ID].[All]" dimensionUniqueName="[FactTable]" displayFolder="" count="2" memberValueDatatype="130" unbalanced="0"/>
    <cacheHierarchy uniqueName="[FactTable].[Sales Person ID]" caption="Sales Person ID" attribute="1" defaultMemberUniqueName="[FactTable].[Sales Person ID].[All]" allUniqueName="[FactTable].[Sales Person ID].[All]" dimensionUniqueName="[FactTable]" displayFolder="" count="2" memberValueDatatype="130" unbalanced="0"/>
    <cacheHierarchy uniqueName="[FactTable].[Customer ID]" caption="Customer ID" attribute="1" defaultMemberUniqueName="[FactTable].[Customer ID].[All]" allUniqueName="[FactTable].[Customer ID].[All]" dimensionUniqueName="[FactTable]" displayFolder="" count="2" memberValueDatatype="130" unbalanced="0"/>
    <cacheHierarchy uniqueName="[FactTable].[Purchase Date]" caption="Purchase Date" attribute="1" time="1" defaultMemberUniqueName="[FactTable].[Purchase Date].[All]" allUniqueName="[FactTable].[Purchase Date].[All]" dimensionUniqueName="[FactTable]" displayFolder="" count="2" memberValueDatatype="7" unbalanced="0"/>
    <cacheHierarchy uniqueName="[FactTable].[Quantity]" caption="Quantity" attribute="1" defaultMemberUniqueName="[FactTable].[Quantity].[All]" allUniqueName="[FactTable].[Quantity].[All]" dimensionUniqueName="[FactTable]" displayFolder="" count="2"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2" memberValueDatatype="130" unbalanced="0"/>
    <cacheHierarchy uniqueName="[Location_Data].[Name]" caption="Name" attribute="1" defaultMemberUniqueName="[Location_Data].[Name].[All]" allUniqueName="[Location_Data].[Name].[All]" dimensionUniqueName="[Location_Data]" displayFolder="" count="2" memberValueDatatype="130" unbalanced="0"/>
    <cacheHierarchy uniqueName="[Location_Data].[County]" caption="County" attribute="1" defaultMemberUniqueName="[Location_Data].[County].[All]" allUniqueName="[Location_Data].[County].[All]" dimensionUniqueName="[Location_Data]" displayFolder="" count="2" memberValueDatatype="130" unbalanced="0">
      <fieldsUsage count="2">
        <fieldUsage x="-1"/>
        <fieldUsage x="3"/>
      </fieldsUsage>
    </cacheHierarchy>
    <cacheHierarchy uniqueName="[Product_Data].[Product ID]" caption="Product ID" attribute="1" defaultMemberUniqueName="[Product_Data].[Product ID].[All]" allUniqueName="[Product_Data].[Product ID].[All]" dimensionUniqueName="[Product_Data]" displayFolder="" count="2"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fieldsUsage count="2">
        <fieldUsage x="-1"/>
        <fieldUsage x="4"/>
      </fieldsUsage>
    </cacheHierarchy>
    <cacheHierarchy uniqueName="[Product_Data].[Cost]" caption="Cost" attribute="1" defaultMemberUniqueName="[Product_Data].[Cost].[All]" allUniqueName="[Product_Data].[Cost].[All]" dimensionUniqueName="[Product_Data]" displayFolder="" count="2"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2"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2"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2"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2"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oneField="1">
      <fieldsUsage count="1">
        <fieldUsage x="0"/>
      </fieldsUsage>
    </cacheHierarchy>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dimensions count="6">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_Data" uniqueName="[Product_Data]" caption="Product_Data"/>
    <dimension name="Salespeople_Data" uniqueName="[Salespeople_Data]" caption="Salespeople_Data"/>
  </dimensions>
  <measureGroups count="5">
    <measureGroup name="Customer_Data" caption="Customer_Data"/>
    <measureGroup name="FactTable" caption="FactTable"/>
    <measureGroup name="Location_Data" caption="Location_Data"/>
    <measureGroup name="Product_Data" caption="Product_Data"/>
    <measureGroup name="Salespeople_Data" caption="Salespeople_Data"/>
  </measureGroups>
  <maps count="9">
    <map measureGroup="0" dimension="0"/>
    <map measureGroup="1" dimension="0"/>
    <map measureGroup="1" dimension="1"/>
    <map measureGroup="1" dimension="2"/>
    <map measureGroup="1" dimension="4"/>
    <map measureGroup="1" dimension="5"/>
    <map measureGroup="2" dimension="2"/>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51.05072777778" createdVersion="3" refreshedVersion="8" minRefreshableVersion="3" recordCount="0" supportSubquery="1" supportAdvancedDrill="1" xr:uid="{017D4185-3F72-40F4-B4BA-5CB4EA3C543D}">
  <cacheSource type="external" connectionId="10">
    <extLst>
      <ext xmlns:x14="http://schemas.microsoft.com/office/spreadsheetml/2009/9/main" uri="{F057638F-6D5F-4e77-A914-E7F072B9BCA8}">
        <x14:sourceConnection name="ThisWorkbookDataModel"/>
      </ext>
    </extLst>
  </cacheSource>
  <cacheFields count="0"/>
  <cacheHierarchies count="38">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Source.Name]" caption="Source.Name" attribute="1" defaultMemberUniqueName="[FactTable].[Source.Name].[All]" allUniqueName="[FactTable].[Source.Name].[All]" dimensionUniqueName="[FactTable]"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Name]" caption="Name" attribute="1" defaultMemberUniqueName="[Location_Data].[Name].[All]" allUniqueName="[Location_Data].[Name].[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Product_Data].[Product ID]" caption="Product ID" attribute="1" defaultMemberUniqueName="[Product_Data].[Product ID].[All]" allUniqueName="[Product_Data].[Product ID].[All]" dimensionUniqueName="[Product_Data]" displayFolder="" count="0" memberValueDatatype="130" unbalanced="0"/>
    <cacheHierarchy uniqueName="[Product_Data].[Product Name]" caption="Product Name" attribute="1" defaultMemberUniqueName="[Product_Data].[Product Name].[All]" allUniqueName="[Product_Data].[Product Name].[All]" dimensionUniqueName="[Product_Data]" displayFolder="" count="2" memberValueDatatype="130" unbalanced="0"/>
    <cacheHierarchy uniqueName="[Product_Data].[Cost]" caption="Cost" attribute="1" defaultMemberUniqueName="[Product_Data].[Cost].[All]" allUniqueName="[Product_Data].[Cost].[All]" dimensionUniqueName="[Product_Data]" displayFolder="" count="0" memberValueDatatype="20" unbalanced="0"/>
    <cacheHierarchy uniqueName="[Product_Data].[Original Sale Price]" caption="Original Sale Price" attribute="1" defaultMemberUniqueName="[Product_Data].[Original Sale Price].[All]" allUniqueName="[Product_Data].[Original Sale Price].[All]" dimensionUniqueName="[Product_Data]" displayFolder="" count="0" memberValueDatatype="20" unbalanced="0"/>
    <cacheHierarchy uniqueName="[Salespeople_Data].[Salesperson ID]" caption="Salesperson ID" attribute="1" defaultMemberUniqueName="[Salespeople_Data].[Salesperson ID].[All]" allUniqueName="[Salespeople_Data].[Salesperson ID].[All]" dimensionUniqueName="[Salespeople_Data]" displayFolder="" count="0" memberValueDatatype="130" unbalanced="0"/>
    <cacheHierarchy uniqueName="[Salespeople_Data].[Salesperson Name]" caption="Salesperson Name" attribute="1" defaultMemberUniqueName="[Salespeople_Data].[Salesperson Name].[All]" allUniqueName="[Salespeople_Data].[Salesperson Name].[All]" dimensionUniqueName="[Salespeople_Data]" displayFolder="" count="0" memberValueDatatype="130" unbalanced="0"/>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Revenue]" caption="Revenue" measure="1" displayFolder="" measureGroup="FactTable" count="0"/>
    <cacheHierarchy uniqueName="[Measures].[COGS]" caption="COGS" measure="1" displayFolder="" measureGroup="FactTable" count="0"/>
    <cacheHierarchy uniqueName="[Measures].[Net Profit]" caption="Net Profit" measure="1" displayFolder="" measureGroup="FactTable" count="0"/>
    <cacheHierarchy uniqueName="[Measures].[Total customers]" caption="Total customers" measure="1" displayFolder="" measureGroup="FactTable" count="0"/>
    <cacheHierarchy uniqueName="[Measures].[Total Products]" caption="Total Products" measure="1" displayFolder="" measureGroup="FactTable" count="0"/>
    <cacheHierarchy uniqueName="[Measures].[Total product]" caption="Total product" measure="1" displayFolder="" measureGroup="FactTable" count="0"/>
    <cacheHierarchy uniqueName="[Measures].[Total country]" caption="Total country" measure="1" displayFolder="" measureGroup="FactTable" count="0"/>
    <cacheHierarchy uniqueName="[Measures].[All Transaction]" caption="All Transaction"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Product_Data]" caption="__XL_Count Product_Data" measure="1" displayFolder="" measureGroup="Product_Data" count="0" hidden="1"/>
    <cacheHierarchy uniqueName="[Measures].[__XL_Count Salespeople_Data]" caption="__XL_Count Salespeople_Data" measure="1" displayFolder="" measureGroup="Salespeople_Data" count="0" hidden="1"/>
    <cacheHierarchy uniqueName="[Measures].[__XL_Count Location_Data]" caption="__XL_Count Location_Data" measure="1" displayFolder="" measureGroup="Location_Data" count="0" hidden="1"/>
    <cacheHierarchy uniqueName="[Measures].[__No measures defined]" caption="__No measures defined" measure="1" displayFolder="" count="0" hidden="1"/>
    <cacheHierarchy uniqueName="[Measures].[Sum of Quantity]" caption="Sum of Quantity" measure="1" displayFolder="" measureGroup="FactTable"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7239565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D1D31A-14A9-4997-9FA4-96552DB05B0F}" name="PivotTable5" cacheId="2" applyNumberFormats="0" applyBorderFormats="0" applyFontFormats="0" applyPatternFormats="0" applyAlignmentFormats="0" applyWidthHeightFormats="1" dataCaption="Values" tag="c1e8d762-6439-4524-bd3b-80399ae7f0bb" updatedVersion="8" minRefreshableVersion="3" useAutoFormatting="1" rowGrandTotals="0" colGrandTotals="0" itemPrintTitles="1" createdVersion="5" indent="0" compact="0" compactData="0" multipleFieldFilters="0" chartFormat="7">
  <location ref="G5:H1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Quantity" fld="0" baseField="0" baseItem="1" numFmtId="3"/>
  </dataFields>
  <formats count="7">
    <format dxfId="43">
      <pivotArea type="all" dataOnly="0" outline="0" fieldPosition="0"/>
    </format>
    <format dxfId="42">
      <pivotArea outline="0" collapsedLevelsAreSubtotals="1" fieldPosition="0"/>
    </format>
    <format dxfId="41">
      <pivotArea dataOnly="0" labelOnly="1" outline="0" axis="axisValues" fieldPosition="0"/>
    </format>
    <format dxfId="40">
      <pivotArea type="all" dataOnly="0" outline="0" fieldPosition="0"/>
    </format>
    <format dxfId="39">
      <pivotArea outline="0" collapsedLevelsAreSubtotals="1" fieldPosition="0"/>
    </format>
    <format dxfId="38">
      <pivotArea dataOnly="0" labelOnly="1" outline="0" axis="axisValues" fieldPosition="0"/>
    </format>
    <format dxfId="37">
      <pivotArea outline="0" collapsedLevelsAreSubtotals="1" fieldPosition="0">
        <references count="1">
          <reference field="4294967294" count="1" selected="0">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042BB7-EB18-4716-87D1-F0BFEA094B93}" name="PivotTable3" cacheId="1" applyNumberFormats="0" applyBorderFormats="0" applyFontFormats="0" applyPatternFormats="0" applyAlignmentFormats="0" applyWidthHeightFormats="1" dataCaption="Values" tag="9c2b7aa5-682a-4468-a9bb-d773d5f7b4f5" updatedVersion="8" minRefreshableVersion="3" useAutoFormatting="1" itemPrintTitles="1" createdVersion="5" indent="0" outline="1" outlineData="1" multipleFieldFilters="0">
  <location ref="B9:E10"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Quantity" fld="0" baseField="0" baseItem="1" numFmtId="3"/>
    <dataField fld="1" subtotal="count" baseField="0" baseItem="0"/>
    <dataField fld="2" subtotal="count" baseField="0" baseItem="0"/>
    <dataField fld="3" subtotal="count" baseField="0" baseItem="0"/>
  </dataFields>
  <formats count="7">
    <format dxfId="50">
      <pivotArea type="all" dataOnly="0" outline="0" fieldPosition="0"/>
    </format>
    <format dxfId="49">
      <pivotArea outline="0" collapsedLevelsAreSubtotals="1" fieldPosition="0"/>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dataOnly="0" labelOnly="1" outline="0" axis="axisValues" fieldPosition="0"/>
    </format>
    <format dxfId="44">
      <pivotArea outline="0" collapsedLevelsAreSubtotals="1" fieldPosition="0">
        <references count="1">
          <reference field="4294967294" count="1" selected="0">
            <x v="0"/>
          </reference>
        </references>
      </pivotArea>
    </format>
  </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D5DEAE-ADF8-44B7-9E2F-21BA780A42AD}" name="PivotTable1" cacheId="0" applyNumberFormats="0" applyBorderFormats="0" applyFontFormats="0" applyPatternFormats="0" applyAlignmentFormats="0" applyWidthHeightFormats="1" dataCaption="Values" tag="8d1c5ac6-b0ec-4af6-8460-0e59f2412251" updatedVersion="8" minRefreshableVersion="3" useAutoFormatting="1" itemPrintTitles="1" createdVersion="5" indent="0" outline="1" outlineData="1" multipleFieldFilters="0">
  <location ref="B5:E6"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formats count="6">
    <format dxfId="56">
      <pivotArea type="all" dataOnly="0" outline="0" fieldPosition="0"/>
    </format>
    <format dxfId="55">
      <pivotArea outline="0" collapsedLevelsAreSubtotals="1" fieldPosition="0"/>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dataOnly="0" labelOnly="1" outline="0" axis="axisValues" fieldPosition="0"/>
    </format>
  </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E0397D-6609-4697-B4FC-D2D3114D60E0}" name="PivotTable9" cacheId="5" applyNumberFormats="0" applyBorderFormats="0" applyFontFormats="0" applyPatternFormats="0" applyAlignmentFormats="0" applyWidthHeightFormats="1" dataCaption="Values" tag="5b68b606-105e-4ccf-88e0-9a932896b790" updatedVersion="8" minRefreshableVersion="3" useAutoFormatting="1" rowGrandTotals="0" colGrandTotals="0" itemPrintTitles="1" createdVersion="5" indent="0" compact="0" compactData="0" multipleFieldFilters="0" chartFormat="5">
  <location ref="P5:Q11" firstHeaderRow="1"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dataFields>
  <formats count="6">
    <format dxfId="62">
      <pivotArea type="all" dataOnly="0" outline="0" fieldPosition="0"/>
    </format>
    <format dxfId="61">
      <pivotArea outline="0" collapsedLevelsAreSubtotals="1" fieldPosition="0"/>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FE20B4A-2699-40F1-A193-84E095369036}" name="PivotTable7" cacheId="4" applyNumberFormats="0" applyBorderFormats="0" applyFontFormats="0" applyPatternFormats="0" applyAlignmentFormats="0" applyWidthHeightFormats="1" dataCaption="Values" tag="922dcb99-bb68-41a6-9646-e4c41b31ffed" updatedVersion="8" minRefreshableVersion="3" useAutoFormatting="1" rowGrandTotals="0" colGrandTotals="0" itemPrintTitles="1" createdVersion="5" indent="0" compact="0" compactData="0" multipleFieldFilters="0" chartFormat="9">
  <location ref="M5:N11" firstHeaderRow="1"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dataFields>
  <formats count="6">
    <format dxfId="68">
      <pivotArea type="all" dataOnly="0" outline="0" fieldPosition="0"/>
    </format>
    <format dxfId="67">
      <pivotArea outline="0" collapsedLevelsAreSubtotals="1" fieldPosition="0"/>
    </format>
    <format dxfId="66">
      <pivotArea dataOnly="0" labelOnly="1" outline="0" axis="axisValues" fieldPosition="0"/>
    </format>
    <format dxfId="65">
      <pivotArea type="all" dataOnly="0" outline="0" fieldPosition="0"/>
    </format>
    <format dxfId="64">
      <pivotArea outline="0" collapsedLevelsAreSubtotals="1" fieldPosition="0"/>
    </format>
    <format dxfId="63">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4BE745-B579-4FE8-9CE3-064D352A0618}" name="PivotTable6" cacheId="3" applyNumberFormats="0" applyBorderFormats="0" applyFontFormats="0" applyPatternFormats="0" applyAlignmentFormats="0" applyWidthHeightFormats="1" dataCaption="Values" tag="368ec2ec-d682-4af6-b356-7deb454b082a" updatedVersion="8" minRefreshableVersion="3" useAutoFormatting="1" rowGrandTotals="0" colGrandTotals="0" itemPrintTitles="1" createdVersion="5" indent="0" compact="0" compactData="0" multipleFieldFilters="0" chartFormat="5">
  <location ref="J5:K11" firstHeaderRow="1"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dataFields>
  <formats count="6">
    <format dxfId="74">
      <pivotArea type="all" dataOnly="0" outline="0" fieldPosition="0"/>
    </format>
    <format dxfId="73">
      <pivotArea outline="0" collapsedLevelsAreSubtotals="1"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E2C5ED-B0EB-4165-908E-FEB8BBE67005}" name="PivotTable25" cacheId="11" applyNumberFormats="0" applyBorderFormats="0" applyFontFormats="0" applyPatternFormats="0" applyAlignmentFormats="0" applyWidthHeightFormats="1" dataCaption="Values" tag="e02b269a-ed41-46b6-9fff-d822b7a4b92c" updatedVersion="8" minRefreshableVersion="3" useAutoFormatting="1" rowGrandTotals="0" colGrandTotals="0" itemPrintTitles="1" createdVersion="5" indent="0" outline="1" outlineData="1" multipleFieldFilters="0" chartFormat="9" rowHeaderCaption="Customer Name">
  <location ref="R8:S11" firstHeaderRow="1" firstDataRow="1" firstDataCol="1"/>
  <pivotFields count="5">
    <pivotField dataField="1" subtotalTop="0" showAll="0" defaultSubtotal="0"/>
    <pivotField allDrilled="1" subtotalTop="0" showAll="0" measureFilter="1" dataSourceSort="1"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3">
    <i>
      <x/>
    </i>
    <i>
      <x v="1"/>
    </i>
    <i>
      <x v="2"/>
    </i>
  </rowItems>
  <colItems count="1">
    <i/>
  </colItems>
  <dataFields count="1">
    <dataField fld="0" subtotal="count" showDataAs="runTotal" baseField="2" baseItem="0"/>
  </dataFields>
  <formats count="6">
    <format dxfId="5">
      <pivotArea type="all" dataOnly="0" outline="0" fieldPosition="0"/>
    </format>
    <format dxfId="4">
      <pivotArea outline="0" collapsedLevelsAreSubtotals="1" fieldPosition="0"/>
    </format>
    <format dxfId="3">
      <pivotArea dataOnly="0" labelOnly="1" outline="0" axis="axisValues" fieldPosition="0"/>
    </format>
    <format dxfId="2">
      <pivotArea type="all" dataOnly="0" outline="0" fieldPosition="0"/>
    </format>
    <format dxfId="1">
      <pivotArea outline="0" collapsedLevelsAreSubtotals="1" fieldPosition="0"/>
    </format>
    <format dxfId="0">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filters count="1">
    <filter fld="1" type="count" id="2" iMeasureHier="25">
      <autoFilter ref="A1">
        <filterColumn colId="0">
          <top10 top="0" val="3" filterVal="3"/>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Location_Data]"/>
        <x15:activeTabTopLevelEntity name="[Customer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6B8EBA-0740-4589-AB5E-7551E0F0F402}" name="PivotTable21" cacheId="10" applyNumberFormats="0" applyBorderFormats="0" applyFontFormats="0" applyPatternFormats="0" applyAlignmentFormats="0" applyWidthHeightFormats="1" dataCaption="Values" tag="ab5c27b5-6b80-4588-8732-9091a6a1b560" updatedVersion="8" minRefreshableVersion="3" useAutoFormatting="1" rowGrandTotals="0" colGrandTotals="0" itemPrintTitles="1" createdVersion="5" indent="0" outline="1" outlineData="1" multipleFieldFilters="0" chartFormat="9" rowHeaderCaption="Customer Name">
  <location ref="N8:O11" firstHeaderRow="1" firstDataRow="1" firstDataCol="1"/>
  <pivotFields count="4">
    <pivotField dataField="1" subtotalTop="0" showAll="0" defaultSubtotal="0"/>
    <pivotField axis="axisRow" allDrilled="1" subtotalTop="0" showAll="0" measureFilter="1"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x v="2"/>
    </i>
  </rowItems>
  <colItems count="1">
    <i/>
  </colItems>
  <dataFields count="1">
    <dataField fld="0" subtotal="count" baseField="0" baseItem="0"/>
  </dataFields>
  <formats count="6">
    <format dxfId="11">
      <pivotArea type="all" dataOnly="0" outline="0" fieldPosition="0"/>
    </format>
    <format dxfId="10">
      <pivotArea outline="0" collapsedLevelsAreSubtotals="1" fieldPosition="0"/>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filters count="1">
    <filter fld="1" type="count" id="2" iMeasureHier="25">
      <autoFilter ref="A1">
        <filterColumn colId="0">
          <top10 top="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Location_Data]"/>
        <x15:activeTabTopLevelEntity name="[Customer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254740-BDA0-4D82-A8DF-EBC9C93268AC}" name="PivotTable19" cacheId="9" applyNumberFormats="0" applyBorderFormats="0" applyFontFormats="0" applyPatternFormats="0" applyAlignmentFormats="0" applyWidthHeightFormats="1" dataCaption="Values" tag="fa8ecd60-e8be-44fa-8e4a-94fc3b6bb500" updatedVersion="8" minRefreshableVersion="3" useAutoFormatting="1" rowGrandTotals="0" colGrandTotals="0" itemPrintTitles="1" createdVersion="5" indent="0" outline="1" outlineData="1" multipleFieldFilters="0" chartFormat="9" rowHeaderCaption="Customer Name">
  <location ref="K8:L11" firstHeaderRow="1" firstDataRow="1" firstDataCol="1"/>
  <pivotFields count="4">
    <pivotField dataField="1" subtotalTop="0" showAll="0" defaultSubtotal="0"/>
    <pivotField axis="axisRow" allDrilled="1" subtotalTop="0" showAll="0" measureFilter="1"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x v="2"/>
    </i>
  </rowItems>
  <colItems count="1">
    <i/>
  </colItems>
  <dataFields count="1">
    <dataField fld="0" subtotal="count" baseField="0" baseItem="0"/>
  </dataFields>
  <formats count="6">
    <format dxfId="17">
      <pivotArea type="all" dataOnly="0" outline="0" fieldPosition="0"/>
    </format>
    <format dxfId="16">
      <pivotArea outline="0" collapsedLevelsAreSubtotals="1"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filters count="1">
    <filter fld="1" type="count" id="1" iMeasureHier="25">
      <autoFilter ref="A1">
        <filterColumn colId="0">
          <top1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Location_Data]"/>
        <x15:activeTabTopLevelEntity name="[Customer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03CA18A-9BEF-4EA1-BC7B-F58A4DF9A1EA}" name="PivotTable17" cacheId="8" applyNumberFormats="0" applyBorderFormats="0" applyFontFormats="0" applyPatternFormats="0" applyAlignmentFormats="0" applyWidthHeightFormats="1" dataCaption="Values" tag="f39c30d4-6f3f-4b9e-9ab7-f0062b2f6c4b" updatedVersion="8" minRefreshableVersion="3" useAutoFormatting="1" rowGrandTotals="0" colGrandTotals="0" itemPrintTitles="1" createdVersion="5" indent="0" outline="1" outlineData="1" multipleFieldFilters="0" chartFormat="9">
  <location ref="G16:H20"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x v="3"/>
    </i>
  </rowItems>
  <colItems count="1">
    <i/>
  </colItems>
  <dataFields count="1">
    <dataField fld="0" subtotal="count" baseField="0" baseItem="0"/>
  </dataFields>
  <formats count="6">
    <format dxfId="23">
      <pivotArea type="all" dataOnly="0" outline="0" fieldPosition="0"/>
    </format>
    <format dxfId="22">
      <pivotArea outline="0" collapsedLevelsAreSubtotals="1"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6EFDCCE-2A6D-4EEC-9F17-D49A38C96B57}" name="PivotTable15" cacheId="7" applyNumberFormats="0" applyBorderFormats="0" applyFontFormats="0" applyPatternFormats="0" applyAlignmentFormats="0" applyWidthHeightFormats="1" dataCaption="Values" tag="b055057f-867c-4fb3-8be0-a464c5692d31" updatedVersion="8" minRefreshableVersion="3" useAutoFormatting="1" rowGrandTotals="0" colGrandTotals="0" itemPrintTitles="1" createdVersion="5" indent="0" outline="1" outlineData="1" multipleFieldFilters="0" chartFormat="5">
  <location ref="D16:E22" firstHeaderRow="1" firstDataRow="1"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x v="5"/>
    </i>
  </rowItems>
  <colItems count="1">
    <i/>
  </colItems>
  <dataFields count="1">
    <dataField fld="0" subtotal="count" baseField="0" baseItem="0"/>
  </dataFields>
  <formats count="6">
    <format dxfId="29">
      <pivotArea type="all" dataOnly="0" outline="0" fieldPosition="0"/>
    </format>
    <format dxfId="28">
      <pivotArea outline="0" collapsedLevelsAreSubtotals="1" fieldPosition="0"/>
    </format>
    <format dxfId="27">
      <pivotArea dataOnly="0" labelOnly="1" outline="0" axis="axisValues" fieldPosition="0"/>
    </format>
    <format dxfId="26">
      <pivotArea type="all" dataOnly="0" outline="0" fieldPosition="0"/>
    </format>
    <format dxfId="25">
      <pivotArea outline="0" collapsedLevelsAreSubtotals="1" fieldPosition="0"/>
    </format>
    <format dxfId="24">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A066101-D276-46FA-B316-8ED1F53CC545}" name="PivotTable13" cacheId="6" applyNumberFormats="0" applyBorderFormats="0" applyFontFormats="0" applyPatternFormats="0" applyAlignmentFormats="0" applyWidthHeightFormats="1" dataCaption="Values" tag="de0c4e96-983d-4913-ae67-aca45e4f00ee" updatedVersion="8" minRefreshableVersion="3" useAutoFormatting="1" rowGrandTotals="0" colGrandTotals="0" itemPrintTitles="1" createdVersion="5" indent="0" outline="1" outlineData="1" multipleFieldFilters="0">
  <location ref="D8:F11" firstHeaderRow="0" firstDataRow="1" firstDataCol="1"/>
  <pivotFields count="5">
    <pivotField dataField="1" subtotalTop="0" showAll="0" defaultSubtotal="0"/>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x v="2"/>
    </i>
  </rowItems>
  <colFields count="1">
    <field x="-2"/>
  </colFields>
  <colItems count="2">
    <i>
      <x/>
    </i>
    <i i="1">
      <x v="1"/>
    </i>
  </colItems>
  <dataFields count="2">
    <dataField fld="0" subtotal="count" baseField="0" baseItem="0"/>
    <dataField name="Net Profit2" fld="4" subtotal="count" showDataAs="percentOfTotal" baseField="0" baseItem="0" numFmtId="10">
      <extLst>
        <ext xmlns:x14="http://schemas.microsoft.com/office/spreadsheetml/2009/9/main" uri="{E15A36E0-9728-4e99-A89B-3F7291B0FE68}">
          <x14:dataField sourceField="0" uniqueName="[__Xl2].[Measures].[Net Profit]"/>
        </ext>
      </extLst>
    </dataField>
  </dataFields>
  <formats count="7">
    <format dxfId="36">
      <pivotArea type="all" dataOnly="0" outline="0" fieldPosition="0"/>
    </format>
    <format dxfId="35">
      <pivotArea outline="0" collapsedLevelsAreSubtotals="1" fieldPosition="0"/>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dataOnly="0" labelOnly="1" outline="0" axis="axisValues" fieldPosition="0"/>
    </format>
    <format dxfId="30">
      <pivotArea outline="0" fieldPosition="0">
        <references count="1">
          <reference field="4294967294" count="1">
            <x v="1"/>
          </reference>
        </references>
      </pivotArea>
    </format>
  </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Location_Data].[County].&amp;[Riverside County]"/>
      </members>
    </pivotHierarchy>
    <pivotHierarchy dragToData="1"/>
    <pivotHierarchy multipleItemSelectionAllowed="1" dragToData="1">
      <members count="1" level="1">
        <member name="[Product_Data].[Product Name].&amp;[Product 1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Date__Month" xr10:uid="{00626467-1524-4059-BD55-DC265884513F}" sourceName="[FactTable].[Purchase Date (Month)]">
  <pivotTables>
    <pivotTable tabId="2" name="PivotTable3"/>
    <pivotTable tabId="3" name="PivotTable13"/>
    <pivotTable tabId="3" name="PivotTable19"/>
    <pivotTable tabId="3" name="PivotTable21"/>
    <pivotTable tabId="3" name="PivotTable25"/>
  </pivotTables>
  <data>
    <olap pivotCacheId="1723956513">
      <levels count="2">
        <level uniqueName="[FactTable].[Purchase Date (Month)].[(All)]" sourceCaption="(All)" count="0"/>
        <level uniqueName="[FactTable].[Purchase Date (Month)].[Purchase Date (Month)]" sourceCaption="Purchase Date (Month)" count="12">
          <ranges>
            <range startItem="0">
              <i n="[FactTable].[Purchase Date (Month)].&amp;[Feb]" c="Feb"/>
              <i n="[FactTable].[Purchase Date (Month)].&amp;[Mar]" c="Mar"/>
              <i n="[FactTable].[Purchase Date (Month)].&amp;[Jun]" c="Jun"/>
              <i n="[FactTable].[Purchase Date (Month)].&amp;[Sep]" c="Sep"/>
              <i n="[FactTable].[Purchase Date (Month)].&amp;[Nov]" c="Nov"/>
              <i n="[FactTable].[Purchase Date (Month)].&amp;[Dec]" c="Dec"/>
              <i n="[FactTable].[Purchase Date (Month)].&amp;[Jan]" c="Jan" nd="1"/>
              <i n="[FactTable].[Purchase Date (Month)].&amp;[Apr]" c="Apr" nd="1"/>
              <i n="[FactTable].[Purchase Date (Month)].&amp;[May]" c="May" nd="1"/>
              <i n="[FactTable].[Purchase Date (Month)].&amp;[Jul]" c="Jul" nd="1"/>
              <i n="[FactTable].[Purchase Date (Month)].&amp;[Aug]" c="Aug" nd="1"/>
              <i n="[FactTable].[Purchase Date (Month)].&amp;[Oct]" c="Oct" nd="1"/>
            </range>
          </ranges>
        </level>
      </levels>
      <selections count="1">
        <selection n="[FactTable].[Purchase 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8B1B7F2E-999B-4E51-86C9-4958F664436D}" sourceName="[Location_Data].[County]">
  <pivotTables>
    <pivotTable tabId="2" name="PivotTable3"/>
    <pivotTable tabId="3" name="PivotTable13"/>
    <pivotTable tabId="3" name="PivotTable15"/>
    <pivotTable tabId="3" name="PivotTable17"/>
    <pivotTable tabId="3" name="PivotTable19"/>
    <pivotTable tabId="3" name="PivotTable21"/>
    <pivotTable tabId="3" name="PivotTable25"/>
    <pivotTable tabId="2" name="PivotTable5"/>
    <pivotTable tabId="2" name="PivotTable6"/>
    <pivotTable tabId="2" name="PivotTable7"/>
    <pivotTable tabId="2" name="PivotTable9"/>
  </pivotTables>
  <data>
    <olap pivotCacheId="1723956513">
      <levels count="2">
        <level uniqueName="[Location_Data].[County].[(All)]" sourceCaption="(All)" count="0"/>
        <level uniqueName="[Location_Data].[County].[County]" sourceCaption="County" count="22">
          <ranges>
            <range startItem="0">
              <i n="[Location_Data].[County].&amp;[Alameda County]" c="Alameda County"/>
              <i n="[Location_Data].[County].&amp;[Contra Costa County]" c="Contra Costa County"/>
              <i n="[Location_Data].[County].&amp;[Fresno County]" c="Fresno County"/>
              <i n="[Location_Data].[County].&amp;[Kern County]" c="Kern County"/>
              <i n="[Location_Data].[County].&amp;[Los Angeles County]" c="Los Angeles County"/>
              <i n="[Location_Data].[County].&amp;[Monterey County]" c="Monterey County"/>
              <i n="[Location_Data].[County].&amp;[Orange County]" c="Orange County"/>
              <i n="[Location_Data].[County].&amp;[Placer County]" c="Placer County"/>
              <i n="[Location_Data].[County].&amp;[Riverside County]" c="Riverside County"/>
              <i n="[Location_Data].[County].&amp;[San Bernardino County]" c="San Bernardino County"/>
              <i n="[Location_Data].[County].&amp;[San Diego County]" c="San Diego County"/>
              <i n="[Location_Data].[County].&amp;[San Francisco County]" c="San Francisco County"/>
              <i n="[Location_Data].[County].&amp;[San Mateo County]" c="San Mateo County"/>
              <i n="[Location_Data].[County].&amp;[Santa Barbara County]" c="Santa Barbara County"/>
              <i n="[Location_Data].[County].&amp;[Santa Clara County]" c="Santa Clara County"/>
              <i n="[Location_Data].[County].&amp;[Solano County]" c="Solano County"/>
              <i n="[Location_Data].[County].&amp;[Sonoma County]" c="Sonoma County"/>
              <i n="[Location_Data].[County].&amp;[Tulare County]" c="Tulare County"/>
              <i n="[Location_Data].[County].&amp;[Ventura County]" c="Ventura County"/>
              <i n="[Location_Data].[County].&amp;[Sacramento County]" c="Sacramento County" nd="1"/>
              <i n="[Location_Data].[County].&amp;[San Joaquin County]" c="San Joaquin County" nd="1"/>
              <i n="[Location_Data].[County].&amp;[Stanislaus County]" c="Stanislaus County" nd="1"/>
            </range>
          </ranges>
        </level>
      </levels>
      <selections count="1">
        <selection n="[Location_Data].[County].&amp;[Riverside County]"/>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8B7EEFC4-5F58-47A2-AF3E-2ADBDA056370}" sourceName="[Product_Data].[Product Name]">
  <pivotTables>
    <pivotTable tabId="2" name="PivotTable1"/>
    <pivotTable tabId="2" name="PivotTable3"/>
    <pivotTable tabId="2" name="PivotTable5"/>
    <pivotTable tabId="2" name="PivotTable6"/>
    <pivotTable tabId="2" name="PivotTable7"/>
    <pivotTable tabId="2" name="PivotTable9"/>
    <pivotTable tabId="3" name="PivotTable13"/>
    <pivotTable tabId="3" name="PivotTable15"/>
    <pivotTable tabId="3" name="PivotTable17"/>
    <pivotTable tabId="3" name="PivotTable19"/>
    <pivotTable tabId="3" name="PivotTable21"/>
    <pivotTable tabId="3" name="PivotTable25"/>
  </pivotTables>
  <data>
    <olap pivotCacheId="1723956513">
      <levels count="2">
        <level uniqueName="[Product_Data].[Product Name].[(All)]" sourceCaption="(All)" count="0"/>
        <level uniqueName="[Product_Data].[Product Name].[Product Name]" sourceCaption="Product Name" count="101">
          <ranges>
            <range startItem="0">
              <i n="[Product_Data].[Product Name].&amp;[Product 1]" c="Product 1"/>
              <i n="[Product_Data].[Product Name].&amp;[Product 10]" c="Product 10"/>
              <i n="[Product_Data].[Product Name].&amp;[Product 100]" c="Product 100"/>
              <i n="[Product_Data].[Product Name].&amp;[Product 101]" c="Product 101"/>
              <i n="[Product_Data].[Product Name].&amp;[Product 11]" c="Product 11"/>
              <i n="[Product_Data].[Product Name].&amp;[Product 12]" c="Product 12"/>
              <i n="[Product_Data].[Product Name].&amp;[Product 13]" c="Product 13"/>
              <i n="[Product_Data].[Product Name].&amp;[Product 14]" c="Product 14"/>
              <i n="[Product_Data].[Product Name].&amp;[Product 15]" c="Product 15"/>
              <i n="[Product_Data].[Product Name].&amp;[Product 16]" c="Product 16"/>
              <i n="[Product_Data].[Product Name].&amp;[Product 17]" c="Product 17"/>
              <i n="[Product_Data].[Product Name].&amp;[Product 18]" c="Product 18"/>
              <i n="[Product_Data].[Product Name].&amp;[Product 19]" c="Product 19"/>
              <i n="[Product_Data].[Product Name].&amp;[Product 2]" c="Product 2"/>
              <i n="[Product_Data].[Product Name].&amp;[Product 20]" c="Product 20"/>
              <i n="[Product_Data].[Product Name].&amp;[Product 21]" c="Product 21"/>
              <i n="[Product_Data].[Product Name].&amp;[Product 22]" c="Product 22"/>
              <i n="[Product_Data].[Product Name].&amp;[Product 23]" c="Product 23"/>
              <i n="[Product_Data].[Product Name].&amp;[Product 24]" c="Product 24"/>
              <i n="[Product_Data].[Product Name].&amp;[Product 25]" c="Product 25"/>
              <i n="[Product_Data].[Product Name].&amp;[Product 26]" c="Product 26"/>
              <i n="[Product_Data].[Product Name].&amp;[Product 27]" c="Product 27"/>
              <i n="[Product_Data].[Product Name].&amp;[Product 28]" c="Product 28"/>
              <i n="[Product_Data].[Product Name].&amp;[Product 29]" c="Product 29"/>
              <i n="[Product_Data].[Product Name].&amp;[Product 3]" c="Product 3"/>
              <i n="[Product_Data].[Product Name].&amp;[Product 30]" c="Product 30"/>
              <i n="[Product_Data].[Product Name].&amp;[Product 31]" c="Product 31"/>
              <i n="[Product_Data].[Product Name].&amp;[Product 32]" c="Product 32"/>
              <i n="[Product_Data].[Product Name].&amp;[Product 33]" c="Product 33"/>
              <i n="[Product_Data].[Product Name].&amp;[Product 34]" c="Product 34"/>
              <i n="[Product_Data].[Product Name].&amp;[Product 35]" c="Product 35"/>
              <i n="[Product_Data].[Product Name].&amp;[Product 36]" c="Product 36"/>
              <i n="[Product_Data].[Product Name].&amp;[Product 37]" c="Product 37"/>
              <i n="[Product_Data].[Product Name].&amp;[Product 38]" c="Product 38"/>
              <i n="[Product_Data].[Product Name].&amp;[Product 39]" c="Product 39"/>
              <i n="[Product_Data].[Product Name].&amp;[Product 4]" c="Product 4"/>
              <i n="[Product_Data].[Product Name].&amp;[Product 40]" c="Product 40"/>
              <i n="[Product_Data].[Product Name].&amp;[Product 41]" c="Product 41"/>
              <i n="[Product_Data].[Product Name].&amp;[Product 42]" c="Product 42"/>
              <i n="[Product_Data].[Product Name].&amp;[Product 43]" c="Product 43"/>
              <i n="[Product_Data].[Product Name].&amp;[Product 44]" c="Product 44"/>
              <i n="[Product_Data].[Product Name].&amp;[Product 45]" c="Product 45"/>
              <i n="[Product_Data].[Product Name].&amp;[Product 46]" c="Product 46"/>
              <i n="[Product_Data].[Product Name].&amp;[Product 47]" c="Product 47"/>
              <i n="[Product_Data].[Product Name].&amp;[Product 48]" c="Product 48"/>
              <i n="[Product_Data].[Product Name].&amp;[Product 49]" c="Product 49"/>
              <i n="[Product_Data].[Product Name].&amp;[Product 5]" c="Product 5"/>
              <i n="[Product_Data].[Product Name].&amp;[Product 50]" c="Product 50"/>
              <i n="[Product_Data].[Product Name].&amp;[Product 51]" c="Product 51"/>
              <i n="[Product_Data].[Product Name].&amp;[Product 52]" c="Product 52"/>
              <i n="[Product_Data].[Product Name].&amp;[Product 53]" c="Product 53"/>
              <i n="[Product_Data].[Product Name].&amp;[Product 54]" c="Product 54"/>
              <i n="[Product_Data].[Product Name].&amp;[Product 55]" c="Product 55"/>
              <i n="[Product_Data].[Product Name].&amp;[Product 56]" c="Product 56"/>
              <i n="[Product_Data].[Product Name].&amp;[Product 57]" c="Product 57"/>
              <i n="[Product_Data].[Product Name].&amp;[Product 58]" c="Product 58"/>
              <i n="[Product_Data].[Product Name].&amp;[Product 59]" c="Product 59"/>
              <i n="[Product_Data].[Product Name].&amp;[Product 6]" c="Product 6"/>
              <i n="[Product_Data].[Product Name].&amp;[Product 60]" c="Product 60"/>
              <i n="[Product_Data].[Product Name].&amp;[Product 61]" c="Product 61"/>
              <i n="[Product_Data].[Product Name].&amp;[Product 62]" c="Product 62"/>
              <i n="[Product_Data].[Product Name].&amp;[Product 63]" c="Product 63"/>
              <i n="[Product_Data].[Product Name].&amp;[Product 64]" c="Product 64"/>
              <i n="[Product_Data].[Product Name].&amp;[Product 65]" c="Product 65"/>
              <i n="[Product_Data].[Product Name].&amp;[Product 66]" c="Product 66"/>
              <i n="[Product_Data].[Product Name].&amp;[Product 67]" c="Product 67"/>
              <i n="[Product_Data].[Product Name].&amp;[Product 68]" c="Product 68"/>
              <i n="[Product_Data].[Product Name].&amp;[Product 69]" c="Product 69"/>
              <i n="[Product_Data].[Product Name].&amp;[Product 7]" c="Product 7"/>
              <i n="[Product_Data].[Product Name].&amp;[Product 70]" c="Product 70"/>
              <i n="[Product_Data].[Product Name].&amp;[Product 71]" c="Product 71"/>
              <i n="[Product_Data].[Product Name].&amp;[Product 72]" c="Product 72"/>
              <i n="[Product_Data].[Product Name].&amp;[Product 73]" c="Product 73"/>
              <i n="[Product_Data].[Product Name].&amp;[Product 74]" c="Product 74"/>
              <i n="[Product_Data].[Product Name].&amp;[Product 75]" c="Product 75"/>
              <i n="[Product_Data].[Product Name].&amp;[Product 76]" c="Product 76"/>
              <i n="[Product_Data].[Product Name].&amp;[Product 77]" c="Product 77"/>
              <i n="[Product_Data].[Product Name].&amp;[Product 78]" c="Product 78"/>
              <i n="[Product_Data].[Product Name].&amp;[Product 79]" c="Product 79"/>
              <i n="[Product_Data].[Product Name].&amp;[Product 8]" c="Product 8"/>
              <i n="[Product_Data].[Product Name].&amp;[Product 80]" c="Product 80"/>
              <i n="[Product_Data].[Product Name].&amp;[Product 81]" c="Product 81"/>
              <i n="[Product_Data].[Product Name].&amp;[Product 82]" c="Product 82"/>
              <i n="[Product_Data].[Product Name].&amp;[Product 83]" c="Product 83"/>
              <i n="[Product_Data].[Product Name].&amp;[Product 84]" c="Product 84"/>
              <i n="[Product_Data].[Product Name].&amp;[Product 85]" c="Product 85"/>
              <i n="[Product_Data].[Product Name].&amp;[Product 86]" c="Product 86"/>
              <i n="[Product_Data].[Product Name].&amp;[Product 87]" c="Product 87"/>
              <i n="[Product_Data].[Product Name].&amp;[Product 88]" c="Product 88"/>
              <i n="[Product_Data].[Product Name].&amp;[Product 89]" c="Product 89"/>
              <i n="[Product_Data].[Product Name].&amp;[Product 9]" c="Product 9"/>
              <i n="[Product_Data].[Product Name].&amp;[Product 90]" c="Product 90"/>
              <i n="[Product_Data].[Product Name].&amp;[Product 91]" c="Product 91"/>
              <i n="[Product_Data].[Product Name].&amp;[Product 92]" c="Product 92"/>
              <i n="[Product_Data].[Product Name].&amp;[Product 93]" c="Product 93"/>
              <i n="[Product_Data].[Product Name].&amp;[Product 94]" c="Product 94"/>
              <i n="[Product_Data].[Product Name].&amp;[Product 95]" c="Product 95"/>
              <i n="[Product_Data].[Product Name].&amp;[Product 96]" c="Product 96"/>
              <i n="[Product_Data].[Product Name].&amp;[Product 97]" c="Product 97"/>
              <i n="[Product_Data].[Product Name].&amp;[Product 98]" c="Product 98"/>
              <i n="[Product_Data].[Product Name].&amp;[Product 99]" c="Product 99"/>
            </range>
          </ranges>
        </level>
      </levels>
      <selections count="1">
        <selection n="[Product_Data].[Product Name].&amp;[Product 1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 Date (Month) 1" xr10:uid="{48368567-D54F-4358-A653-073B7F9B0669}" cache="Slicer_Purchase_Date__Month" caption="Purchase Date (Month)" columnCount="12" showCaption="0" level="1" style="Slicer Style 1" rowHeight="247650"/>
  <slicer name="County 1" xr10:uid="{44D6F649-E76E-40AB-B562-F6B030741165}" cache="Slicer_County" caption="County" startItem="8" showCaption="0" level="1" style="Slicer Style 1" rowHeight="247650"/>
  <slicer name="Product Name 1" xr10:uid="{2E3829C8-187D-4F2D-A620-985DD1D8B277}" cache="Slicer_Product_Name" caption="Product Name" showCaption="0" level="1"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5B102-8A2F-4160-A333-88F97C46C0F4}">
  <sheetPr>
    <tabColor rgb="FFC30D52"/>
  </sheetPr>
  <dimension ref="A1:X7"/>
  <sheetViews>
    <sheetView showGridLines="0" showRowColHeaders="0" tabSelected="1" zoomScaleNormal="100" workbookViewId="0">
      <selection activeCell="B6" sqref="B6"/>
      <extLst>
        <ext xmlns:xlsdti="http://schemas.microsoft.com/office/spreadsheetml/2023/showDataTypeIcons" uri="{77bfe23e-c014-4d31-8a63-9c772dbf06b6}">
          <xlsdti:showDataTypeIcons visible="0"/>
        </ext>
      </extLst>
    </sheetView>
  </sheetViews>
  <sheetFormatPr defaultRowHeight="14.4" x14ac:dyDescent="0.3"/>
  <cols>
    <col min="1" max="23" width="8.88671875" style="1"/>
    <col min="24" max="24" width="5.6640625" style="1" customWidth="1"/>
    <col min="25" max="16384" width="8.88671875" style="1"/>
  </cols>
  <sheetData>
    <row r="1" spans="1:24" ht="21" customHeight="1" x14ac:dyDescent="0.3">
      <c r="A1" s="2"/>
      <c r="B1" s="2"/>
      <c r="C1" s="2"/>
      <c r="D1" s="2"/>
      <c r="E1" s="2"/>
      <c r="F1" s="2"/>
      <c r="G1" s="2"/>
      <c r="H1" s="2"/>
      <c r="I1" s="2"/>
      <c r="J1" s="2"/>
      <c r="K1" s="2"/>
      <c r="L1" s="2"/>
      <c r="M1" s="2"/>
      <c r="N1" s="2"/>
      <c r="O1" s="2"/>
      <c r="P1" s="2"/>
      <c r="Q1" s="2"/>
      <c r="R1" s="2"/>
      <c r="S1" s="2"/>
      <c r="T1" s="2"/>
      <c r="U1" s="2"/>
      <c r="V1" s="2"/>
      <c r="W1" s="2"/>
      <c r="X1" s="2"/>
    </row>
    <row r="2" spans="1:24" x14ac:dyDescent="0.3">
      <c r="A2" s="2"/>
      <c r="B2" s="2"/>
      <c r="C2" s="2"/>
      <c r="D2" s="2"/>
      <c r="E2" s="2"/>
      <c r="F2" s="2"/>
      <c r="G2" s="2"/>
      <c r="H2" s="2"/>
      <c r="I2" s="2"/>
      <c r="J2" s="2"/>
      <c r="K2" s="2"/>
      <c r="L2" s="2"/>
      <c r="M2" s="2"/>
      <c r="N2" s="2"/>
      <c r="O2" s="2"/>
      <c r="P2" s="2"/>
      <c r="Q2" s="2"/>
      <c r="R2" s="2"/>
      <c r="S2" s="2"/>
      <c r="T2" s="2"/>
      <c r="U2" s="2"/>
      <c r="V2" s="2"/>
      <c r="W2" s="2"/>
      <c r="X2" s="2"/>
    </row>
    <row r="6" spans="1:24" x14ac:dyDescent="0.3">
      <c r="D6" s="3"/>
      <c r="E6" s="3"/>
      <c r="F6" s="3"/>
      <c r="G6" s="3"/>
      <c r="H6" s="3"/>
      <c r="I6" s="3"/>
      <c r="J6" s="3"/>
      <c r="K6" s="3"/>
      <c r="L6" s="3"/>
      <c r="M6" s="3"/>
      <c r="N6" s="3"/>
      <c r="O6" s="3"/>
      <c r="P6" s="3"/>
      <c r="Q6" s="3"/>
      <c r="R6" s="3"/>
    </row>
    <row r="7" spans="1:24" x14ac:dyDescent="0.3">
      <c r="D7" s="3"/>
      <c r="E7" s="3"/>
      <c r="F7" s="3"/>
      <c r="G7" s="3"/>
      <c r="H7" s="3"/>
      <c r="I7" s="3"/>
      <c r="J7" s="3"/>
      <c r="K7" s="3"/>
      <c r="L7" s="3"/>
      <c r="M7" s="3"/>
      <c r="N7" s="3"/>
      <c r="O7" s="3"/>
      <c r="P7" s="3"/>
      <c r="Q7" s="3"/>
      <c r="R7"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236220</xdr:colOff>
                    <xdr:row>12</xdr:row>
                    <xdr:rowOff>99060</xdr:rowOff>
                  </from>
                  <to>
                    <xdr:col>16</xdr:col>
                    <xdr:colOff>266700</xdr:colOff>
                    <xdr:row>13</xdr:row>
                    <xdr:rowOff>137160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190500</xdr:colOff>
                    <xdr:row>12</xdr:row>
                    <xdr:rowOff>91440</xdr:rowOff>
                  </from>
                  <to>
                    <xdr:col>17</xdr:col>
                    <xdr:colOff>220980</xdr:colOff>
                    <xdr:row>13</xdr:row>
                    <xdr:rowOff>129540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1EACB-B409-4E13-B3A8-B9C1C7BF7670}">
  <dimension ref="B1:Q20"/>
  <sheetViews>
    <sheetView zoomScaleNormal="100" zoomScaleSheetLayoutView="90" workbookViewId="0">
      <selection activeCell="I18" sqref="I18"/>
    </sheetView>
  </sheetViews>
  <sheetFormatPr defaultRowHeight="14.4" x14ac:dyDescent="0.3"/>
  <cols>
    <col min="2" max="2" width="8.109375" bestFit="1" customWidth="1"/>
    <col min="3" max="3" width="8" bestFit="1" customWidth="1"/>
    <col min="4" max="4" width="7.5546875" bestFit="1" customWidth="1"/>
    <col min="5" max="5" width="8.88671875" bestFit="1" customWidth="1"/>
    <col min="7" max="7" width="24.33203125" bestFit="1" customWidth="1"/>
    <col min="8" max="8" width="8.109375" bestFit="1" customWidth="1"/>
    <col min="9" max="9" width="10.109375" bestFit="1" customWidth="1"/>
    <col min="10" max="10" width="24.33203125" bestFit="1" customWidth="1"/>
    <col min="11" max="11" width="8" bestFit="1" customWidth="1"/>
    <col min="13" max="13" width="24.33203125" bestFit="1" customWidth="1"/>
    <col min="14" max="14" width="6.5546875" bestFit="1" customWidth="1"/>
    <col min="16" max="16" width="24.33203125" bestFit="1" customWidth="1"/>
  </cols>
  <sheetData>
    <row r="1" spans="2:17" x14ac:dyDescent="0.3">
      <c r="B1" s="4"/>
    </row>
    <row r="4" spans="2:17" x14ac:dyDescent="0.3">
      <c r="G4" t="s">
        <v>7</v>
      </c>
      <c r="J4" t="s">
        <v>4</v>
      </c>
      <c r="M4" t="s">
        <v>5</v>
      </c>
      <c r="P4" t="s">
        <v>14</v>
      </c>
    </row>
    <row r="5" spans="2:17" x14ac:dyDescent="0.3">
      <c r="B5" s="5" t="s">
        <v>0</v>
      </c>
      <c r="C5" s="5" t="s">
        <v>1</v>
      </c>
      <c r="D5" s="5" t="s">
        <v>2</v>
      </c>
      <c r="E5" s="5" t="s">
        <v>3</v>
      </c>
      <c r="G5" s="7" t="s">
        <v>15</v>
      </c>
      <c r="H5" s="5" t="s">
        <v>7</v>
      </c>
      <c r="J5" s="7" t="s">
        <v>15</v>
      </c>
      <c r="K5" s="5" t="s">
        <v>4</v>
      </c>
      <c r="M5" s="7" t="s">
        <v>15</v>
      </c>
      <c r="N5" s="5" t="s">
        <v>5</v>
      </c>
      <c r="P5" s="7" t="s">
        <v>15</v>
      </c>
      <c r="Q5" s="5" t="s">
        <v>6</v>
      </c>
    </row>
    <row r="6" spans="2:17" x14ac:dyDescent="0.3">
      <c r="B6" s="6">
        <v>96</v>
      </c>
      <c r="C6" s="6">
        <v>1</v>
      </c>
      <c r="D6" s="6">
        <v>58</v>
      </c>
      <c r="E6" s="6">
        <v>104</v>
      </c>
      <c r="G6" s="5" t="s">
        <v>8</v>
      </c>
      <c r="H6" s="6">
        <v>3</v>
      </c>
      <c r="J6" s="5" t="s">
        <v>8</v>
      </c>
      <c r="K6" s="8">
        <v>5436</v>
      </c>
      <c r="M6" s="5" t="s">
        <v>8</v>
      </c>
      <c r="N6" s="8">
        <v>3915</v>
      </c>
      <c r="P6" s="5" t="s">
        <v>8</v>
      </c>
      <c r="Q6" s="8">
        <v>1521</v>
      </c>
    </row>
    <row r="7" spans="2:17" x14ac:dyDescent="0.3">
      <c r="G7" s="5" t="s">
        <v>9</v>
      </c>
      <c r="H7" s="6">
        <v>3</v>
      </c>
      <c r="J7" s="5" t="s">
        <v>9</v>
      </c>
      <c r="K7" s="8">
        <v>5436</v>
      </c>
      <c r="M7" s="5" t="s">
        <v>9</v>
      </c>
      <c r="N7" s="8">
        <v>3915</v>
      </c>
      <c r="P7" s="5" t="s">
        <v>9</v>
      </c>
      <c r="Q7" s="8">
        <v>1521</v>
      </c>
    </row>
    <row r="8" spans="2:17" x14ac:dyDescent="0.3">
      <c r="G8" s="5" t="s">
        <v>10</v>
      </c>
      <c r="H8" s="6">
        <v>1</v>
      </c>
      <c r="J8" s="5" t="s">
        <v>10</v>
      </c>
      <c r="K8" s="8">
        <v>1812</v>
      </c>
      <c r="M8" s="5" t="s">
        <v>10</v>
      </c>
      <c r="N8" s="8">
        <v>1305</v>
      </c>
      <c r="P8" s="5" t="s">
        <v>10</v>
      </c>
      <c r="Q8" s="8">
        <v>507</v>
      </c>
    </row>
    <row r="9" spans="2:17" x14ac:dyDescent="0.3">
      <c r="B9" s="5" t="s">
        <v>7</v>
      </c>
      <c r="C9" s="5" t="s">
        <v>4</v>
      </c>
      <c r="D9" s="5" t="s">
        <v>5</v>
      </c>
      <c r="E9" s="5" t="s">
        <v>6</v>
      </c>
      <c r="G9" s="5" t="s">
        <v>11</v>
      </c>
      <c r="H9" s="6">
        <v>1</v>
      </c>
      <c r="J9" s="5" t="s">
        <v>11</v>
      </c>
      <c r="K9" s="8">
        <v>1812</v>
      </c>
      <c r="M9" s="5" t="s">
        <v>11</v>
      </c>
      <c r="N9" s="8">
        <v>1305</v>
      </c>
      <c r="P9" s="5" t="s">
        <v>11</v>
      </c>
      <c r="Q9" s="8">
        <v>507</v>
      </c>
    </row>
    <row r="10" spans="2:17" x14ac:dyDescent="0.3">
      <c r="B10" s="6">
        <v>13</v>
      </c>
      <c r="C10" s="8">
        <v>23556</v>
      </c>
      <c r="D10" s="8">
        <v>16965</v>
      </c>
      <c r="E10" s="8">
        <v>6591</v>
      </c>
      <c r="G10" s="5" t="s">
        <v>12</v>
      </c>
      <c r="H10" s="6">
        <v>3</v>
      </c>
      <c r="J10" s="5" t="s">
        <v>12</v>
      </c>
      <c r="K10" s="8">
        <v>5436</v>
      </c>
      <c r="M10" s="5" t="s">
        <v>12</v>
      </c>
      <c r="N10" s="8">
        <v>3915</v>
      </c>
      <c r="P10" s="5" t="s">
        <v>12</v>
      </c>
      <c r="Q10" s="8">
        <v>1521</v>
      </c>
    </row>
    <row r="11" spans="2:17" x14ac:dyDescent="0.3">
      <c r="G11" s="5" t="s">
        <v>13</v>
      </c>
      <c r="H11" s="6">
        <v>2</v>
      </c>
      <c r="J11" s="5" t="s">
        <v>13</v>
      </c>
      <c r="K11" s="8">
        <v>3624</v>
      </c>
      <c r="M11" s="5" t="s">
        <v>13</v>
      </c>
      <c r="N11" s="8">
        <v>2610</v>
      </c>
      <c r="P11" s="5" t="s">
        <v>13</v>
      </c>
      <c r="Q11" s="8">
        <v>1014</v>
      </c>
    </row>
    <row r="14" spans="2:17" x14ac:dyDescent="0.3">
      <c r="B14" s="10" t="s">
        <v>17</v>
      </c>
      <c r="C14" s="5">
        <f>GETPIVOTDATA("[Measures].[Revenue]",$B$9)</f>
        <v>23556</v>
      </c>
      <c r="D14" s="5">
        <f>GETPIVOTDATA("[Measures].[COGS]",$B$9)</f>
        <v>16965</v>
      </c>
      <c r="E14" s="5">
        <f>GETPIVOTDATA("[Measures].[Net Profit]",$B$9)</f>
        <v>6591</v>
      </c>
    </row>
    <row r="15" spans="2:17" x14ac:dyDescent="0.3">
      <c r="B15" s="10" t="s">
        <v>16</v>
      </c>
      <c r="C15" s="5" t="str">
        <f>ROUND(GETPIVOTDATA("[Measures].[Revenue]",$B$9)/1000000,1)&amp;"M"</f>
        <v>0M</v>
      </c>
      <c r="D15" s="5" t="str">
        <f>ROUND(GETPIVOTDATA("[Measures].[COGS]",$B$9)/1000000,1)&amp;"M"</f>
        <v>0M</v>
      </c>
      <c r="E15" s="5" t="str">
        <f>ROUND(GETPIVOTDATA("[Measures].[Net Profit]",$B$9)/1000000,1)&amp;"M"</f>
        <v>0M</v>
      </c>
    </row>
    <row r="16" spans="2:17" x14ac:dyDescent="0.3">
      <c r="B16" s="10"/>
    </row>
    <row r="17" spans="2:5" x14ac:dyDescent="0.3">
      <c r="B17" s="10"/>
    </row>
    <row r="18" spans="2:5" x14ac:dyDescent="0.3">
      <c r="B18" s="10" t="s">
        <v>18</v>
      </c>
      <c r="C18" s="11">
        <f>IF(GETPIVOTDATA("[Measures].[Revenue]",$C$10)&lt;1000000,C14,"")</f>
        <v>23556</v>
      </c>
      <c r="D18" s="11">
        <f>IF(GETPIVOTDATA("[Measures].[COGS]",$B$9)&lt;1000000,D14,"")</f>
        <v>16965</v>
      </c>
      <c r="E18" s="11">
        <f>IF(GETPIVOTDATA("[Measures].[Net Profit]",$B$9)&lt;1000000,E14,"")</f>
        <v>6591</v>
      </c>
    </row>
    <row r="19" spans="2:5" x14ac:dyDescent="0.3">
      <c r="B19" s="10" t="s">
        <v>19</v>
      </c>
      <c r="C19" t="str">
        <f>IF(GETPIVOTDATA("[Measures].[Revenue]",$B$9)&gt;=1000000,C15,"")</f>
        <v/>
      </c>
      <c r="D19" t="str">
        <f>IF(GETPIVOTDATA("[Measures].[Revenue]",$D$10)&gt;=1000000,D15,"")</f>
        <v/>
      </c>
      <c r="E19" t="str">
        <f>IF(GETPIVOTDATA("[Measures].[Net Profit]",$B$9)&gt;=1000000,E15,"")</f>
        <v/>
      </c>
    </row>
    <row r="20" spans="2:5" x14ac:dyDescent="0.3">
      <c r="B20" s="9"/>
    </row>
  </sheetData>
  <pageMargins left="0.7" right="0.7" top="0.75" bottom="0.75" header="0.3" footer="0.3"/>
  <pageSetup scale="28"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AE215-ED9F-4108-9C9F-7CBE6FAB52C7}">
  <dimension ref="B1:T22"/>
  <sheetViews>
    <sheetView topLeftCell="G2" zoomScale="120" zoomScaleNormal="120" workbookViewId="0">
      <selection activeCell="M3" sqref="M3"/>
    </sheetView>
  </sheetViews>
  <sheetFormatPr defaultRowHeight="14.4" x14ac:dyDescent="0.3"/>
  <cols>
    <col min="2" max="2" width="24.6640625" bestFit="1" customWidth="1"/>
    <col min="4" max="4" width="14.6640625" bestFit="1" customWidth="1"/>
    <col min="5" max="5" width="8.88671875" bestFit="1" customWidth="1"/>
    <col min="6" max="6" width="9.88671875" bestFit="1" customWidth="1"/>
    <col min="7" max="7" width="14.6640625" bestFit="1" customWidth="1"/>
    <col min="8" max="8" width="8.88671875" bestFit="1" customWidth="1"/>
    <col min="9" max="9" width="10.109375" bestFit="1" customWidth="1"/>
    <col min="11" max="11" width="19" bestFit="1" customWidth="1"/>
    <col min="12" max="12" width="8.88671875" bestFit="1" customWidth="1"/>
    <col min="13" max="13" width="14.33203125" bestFit="1" customWidth="1"/>
    <col min="14" max="14" width="19" bestFit="1" customWidth="1"/>
    <col min="18" max="18" width="19" bestFit="1" customWidth="1"/>
    <col min="19" max="19" width="8.88671875" bestFit="1" customWidth="1"/>
    <col min="20" max="20" width="10.109375" bestFit="1" customWidth="1"/>
  </cols>
  <sheetData>
    <row r="1" spans="2:20" x14ac:dyDescent="0.3">
      <c r="B1" s="4">
        <f ca="1">TODAY()</f>
        <v>46140</v>
      </c>
    </row>
    <row r="6" spans="2:20" x14ac:dyDescent="0.3">
      <c r="D6" s="14" t="s">
        <v>28</v>
      </c>
    </row>
    <row r="7" spans="2:20" x14ac:dyDescent="0.3">
      <c r="D7" s="14"/>
    </row>
    <row r="8" spans="2:20" x14ac:dyDescent="0.3">
      <c r="D8" s="7" t="s">
        <v>20</v>
      </c>
      <c r="E8" s="5" t="s">
        <v>6</v>
      </c>
      <c r="F8" s="5" t="s">
        <v>24</v>
      </c>
      <c r="G8" s="5" t="s">
        <v>26</v>
      </c>
      <c r="H8" s="5" t="s">
        <v>27</v>
      </c>
      <c r="K8" s="7" t="s">
        <v>39</v>
      </c>
      <c r="L8" s="5" t="s">
        <v>6</v>
      </c>
      <c r="N8" s="7" t="s">
        <v>39</v>
      </c>
      <c r="O8" s="5" t="s">
        <v>6</v>
      </c>
      <c r="R8" s="7" t="s">
        <v>39</v>
      </c>
      <c r="S8" s="5" t="s">
        <v>6</v>
      </c>
    </row>
    <row r="9" spans="2:20" x14ac:dyDescent="0.3">
      <c r="D9" s="5" t="s">
        <v>21</v>
      </c>
      <c r="E9" s="8">
        <v>1521</v>
      </c>
      <c r="F9" s="13">
        <v>0.23076923076923078</v>
      </c>
      <c r="G9" s="12">
        <f>GETPIVOTDATA("[__Xl2].[Measures].[Net Profit]",$D$8,"[FactTable].[Purchase Date (Year)]","[FactTable].[Purchase Date (Year)].&amp;[2019]")</f>
        <v>0.23076923076923078</v>
      </c>
      <c r="H9" s="15">
        <f>100%-G9</f>
        <v>0.76923076923076916</v>
      </c>
      <c r="I9" s="11">
        <f>IF(GETPIVOTDATA("[Measures].[Net Profit]",$D$8,"[FactTable].[Purchase Date (Year)]","[FactTable].[Purchase Date (Year)].&amp;[2019]")="","NO VALUE",GETPIVOTDATA("[Measures].[Net Profit]",$D$8,"[FactTable].[Purchase Date (Year)]","[FactTable].[Purchase Date (Year)].&amp;[2019]"))</f>
        <v>1521</v>
      </c>
      <c r="K9" s="5" t="s">
        <v>33</v>
      </c>
      <c r="L9" s="8">
        <v>1521</v>
      </c>
      <c r="N9" s="5" t="s">
        <v>32</v>
      </c>
      <c r="O9" s="8">
        <v>507</v>
      </c>
      <c r="R9" s="5" t="s">
        <v>21</v>
      </c>
      <c r="S9" s="8">
        <v>1521</v>
      </c>
      <c r="T9" s="11">
        <f>IF(GETPIVOTDATA("[Measures].[Net Profit]",$R$8,"[FactTable].[Purchase Date (Year)]","[FactTable].[Purchase Date (Year)].&amp;[2019]")="","",GETPIVOTDATA("[Measures].[Net Profit]",$R$8,"[FactTable].[Purchase Date (Year)]","[FactTable].[Purchase Date (Year)].&amp;[2019]"))</f>
        <v>1521</v>
      </c>
    </row>
    <row r="10" spans="2:20" x14ac:dyDescent="0.3">
      <c r="D10" s="5" t="s">
        <v>22</v>
      </c>
      <c r="E10" s="8">
        <v>3042</v>
      </c>
      <c r="F10" s="13">
        <v>0.46153846153846156</v>
      </c>
      <c r="G10" s="12">
        <f>GETPIVOTDATA("[__Xl2].[Measures].[Net Profit]",$D$8,"[FactTable].[Purchase Date (Year)]","[FactTable].[Purchase Date (Year)].&amp;[2020]")</f>
        <v>0.46153846153846156</v>
      </c>
      <c r="H10" s="15">
        <f t="shared" ref="H10:H11" si="0">100%-G10</f>
        <v>0.53846153846153844</v>
      </c>
      <c r="I10" s="11">
        <f>IF(GETPIVOTDATA("[Measures].[Net Profit]",$D$8,"[FactTable].[Purchase Date (Year)]","[FactTable].[Purchase Date (Year)].&amp;[2020]")="","NO VALUE",GETPIVOTDATA("[Measures].[Net Profit]",$D$8,"[FactTable].[Purchase Date (Year)]","[FactTable].[Purchase Date (Year)].&amp;[2020]"))</f>
        <v>3042</v>
      </c>
      <c r="K10" s="5" t="s">
        <v>35</v>
      </c>
      <c r="L10" s="8">
        <v>2028</v>
      </c>
      <c r="N10" s="5" t="s">
        <v>34</v>
      </c>
      <c r="O10" s="8">
        <v>507</v>
      </c>
      <c r="R10" s="5" t="s">
        <v>22</v>
      </c>
      <c r="S10" s="8">
        <v>4563</v>
      </c>
      <c r="T10" s="11">
        <f>IF(GETPIVOTDATA("[Measures].[Net Profit]",$R$8,"[FactTable].[Purchase Date (Year)]","[FactTable].[Purchase Date (Year)].&amp;[2020]")="","",GETPIVOTDATA("[Measures].[Net Profit]",$R$8,"[FactTable].[Purchase Date (Year)]","[FactTable].[Purchase Date (Year)].&amp;[2020]"))</f>
        <v>4563</v>
      </c>
    </row>
    <row r="11" spans="2:20" x14ac:dyDescent="0.3">
      <c r="D11" s="5" t="s">
        <v>23</v>
      </c>
      <c r="E11" s="8">
        <v>2028</v>
      </c>
      <c r="F11" s="13">
        <v>0.30769230769230771</v>
      </c>
      <c r="G11" s="12">
        <f>GETPIVOTDATA("[__Xl2].[Measures].[Net Profit]",$D$8,"[FactTable].[Purchase Date (Year)]","[FactTable].[Purchase Date (Year)].&amp;[2021]")</f>
        <v>0.30769230769230771</v>
      </c>
      <c r="H11" s="15">
        <f t="shared" si="0"/>
        <v>0.69230769230769229</v>
      </c>
      <c r="I11" s="11">
        <f>IF(GETPIVOTDATA("[Measures].[Net Profit]",$D$8,"[FactTable].[Purchase Date (Year)]","[FactTable].[Purchase Date (Year)].&amp;[2021]")="","NO VALUE",GETPIVOTDATA("[Measures].[Net Profit]",$D$8,"[FactTable].[Purchase Date (Year)]","[FactTable].[Purchase Date (Year)].&amp;[2021]"))</f>
        <v>2028</v>
      </c>
      <c r="K11" s="5" t="s">
        <v>36</v>
      </c>
      <c r="L11" s="8">
        <v>1521</v>
      </c>
      <c r="N11" s="5" t="s">
        <v>37</v>
      </c>
      <c r="O11" s="8">
        <v>507</v>
      </c>
      <c r="R11" s="5" t="s">
        <v>23</v>
      </c>
      <c r="S11" s="8">
        <v>6591</v>
      </c>
      <c r="T11" s="11">
        <f>IF(GETPIVOTDATA("[Measures].[Net Profit]",$R$8,"[FactTable].[Purchase Date (Year)]","[FactTable].[Purchase Date (Year)].&amp;[2021]")="","",GETPIVOTDATA("[Measures].[Net Profit]",$R$8,"[FactTable].[Purchase Date (Year)]","[FactTable].[Purchase Date (Year)].&amp;[2021]"))</f>
        <v>6591</v>
      </c>
    </row>
    <row r="13" spans="2:20" x14ac:dyDescent="0.3">
      <c r="K13" s="5">
        <v>1</v>
      </c>
      <c r="L13" s="5"/>
    </row>
    <row r="14" spans="2:20" x14ac:dyDescent="0.3">
      <c r="K14" s="5" t="s">
        <v>38</v>
      </c>
      <c r="M14" t="str">
        <f>IF($K$13=1,K8,N8)</f>
        <v>Customer Name</v>
      </c>
      <c r="N14" t="str">
        <f>IF($K$13=1,L8,O8)</f>
        <v>Net Profit</v>
      </c>
    </row>
    <row r="15" spans="2:20" x14ac:dyDescent="0.3">
      <c r="K15" s="5">
        <f>GETPIVOTDATA("[Measures].[Total customers]",Sheet1!$B$5)</f>
        <v>96</v>
      </c>
      <c r="M15" t="str">
        <f t="shared" ref="M15:M17" si="1">IF($K$13=1,K9,N9)</f>
        <v>Daniel Barnes</v>
      </c>
      <c r="N15">
        <f t="shared" ref="N15:N17" si="2">IF($K$13=1,L9,O9)</f>
        <v>1521</v>
      </c>
    </row>
    <row r="16" spans="2:20" x14ac:dyDescent="0.3">
      <c r="D16" s="7" t="s">
        <v>20</v>
      </c>
      <c r="E16" s="5" t="s">
        <v>6</v>
      </c>
      <c r="G16" s="7" t="s">
        <v>20</v>
      </c>
      <c r="H16" s="5" t="s">
        <v>6</v>
      </c>
      <c r="M16" t="str">
        <f t="shared" si="1"/>
        <v>James Simmons</v>
      </c>
      <c r="N16">
        <f t="shared" si="2"/>
        <v>2028</v>
      </c>
    </row>
    <row r="17" spans="4:14" x14ac:dyDescent="0.3">
      <c r="D17" s="5" t="s">
        <v>8</v>
      </c>
      <c r="E17" s="8">
        <v>1521</v>
      </c>
      <c r="G17" s="5" t="s">
        <v>25</v>
      </c>
      <c r="H17" s="8">
        <v>3042</v>
      </c>
      <c r="I17" s="11">
        <f>IF(GETPIVOTDATA("[Measures].[Net Profit]",$G$16,"[FactTable].[Purchase Date (Quarter)]","[FactTable].[Purchase Date (Quarter)].&amp;[Qtr1]")="","NO VALUE",GETPIVOTDATA("[Measures].[Net Profit]",$G$16,"[FactTable].[Purchase Date (Quarter)]","[FactTable].[Purchase Date (Quarter)].&amp;[Qtr1]"))</f>
        <v>3042</v>
      </c>
      <c r="M17" t="str">
        <f t="shared" si="1"/>
        <v>Johnny Andrews</v>
      </c>
      <c r="N17">
        <f t="shared" si="2"/>
        <v>1521</v>
      </c>
    </row>
    <row r="18" spans="4:14" x14ac:dyDescent="0.3">
      <c r="D18" s="5" t="s">
        <v>9</v>
      </c>
      <c r="E18" s="8">
        <v>1521</v>
      </c>
      <c r="G18" s="5" t="s">
        <v>29</v>
      </c>
      <c r="H18" s="8">
        <v>507</v>
      </c>
      <c r="I18" s="11">
        <f>IF(GETPIVOTDATA("[Measures].[Net Profit]",$G$16,"[FactTable].[Purchase Date (Quarter)]","[FactTable].[Purchase Date (Quarter)].&amp;[Qtr2]")="","NO VALUE",GETPIVOTDATA("[Measures].[Net Profit]",$G$16,"[FactTable].[Purchase Date (Quarter)]","[FactTable].[Purchase Date (Quarter)].&amp;[Qtr2]"))</f>
        <v>507</v>
      </c>
    </row>
    <row r="19" spans="4:14" x14ac:dyDescent="0.3">
      <c r="D19" s="5" t="s">
        <v>10</v>
      </c>
      <c r="E19" s="8">
        <v>507</v>
      </c>
      <c r="G19" s="5" t="s">
        <v>30</v>
      </c>
      <c r="H19" s="8">
        <v>507</v>
      </c>
      <c r="I19" s="11">
        <f>IF(GETPIVOTDATA("[Measures].[Net Profit]",$G$16,"[FactTable].[Purchase Date (Quarter)]","[FactTable].[Purchase Date (Quarter)].&amp;[Qtr3]")="","NO VALUE",GETPIVOTDATA("[Measures].[Net Profit]",$G$16,"[FactTable].[Purchase Date (Quarter)]","[FactTable].[Purchase Date (Quarter)].&amp;[Qtr3]"))</f>
        <v>507</v>
      </c>
      <c r="K19" t="s">
        <v>40</v>
      </c>
    </row>
    <row r="20" spans="4:14" x14ac:dyDescent="0.3">
      <c r="D20" s="5" t="s">
        <v>11</v>
      </c>
      <c r="E20" s="8">
        <v>507</v>
      </c>
      <c r="G20" s="5" t="s">
        <v>31</v>
      </c>
      <c r="H20" s="8">
        <v>2535</v>
      </c>
      <c r="I20" s="11">
        <f>IF(GETPIVOTDATA("[Measures].[Net Profit]",$G$16,"[FactTable].[Purchase Date (Quarter)]","[FactTable].[Purchase Date (Quarter)].&amp;[Qtr4]")="","NO VALUE",GETPIVOTDATA("[Measures].[Net Profit]",$G$16,"[FactTable].[Purchase Date (Quarter)]","[FactTable].[Purchase Date (Quarter)].&amp;[Qtr4]"))</f>
        <v>2535</v>
      </c>
      <c r="K20" t="str">
        <f>IF(K13=1,"Showing TOP-3 profitable customers out of "&amp;K15&amp; " customers","Showing 3 lowest proftable  customers out of "&amp;K15&amp; " customers")</f>
        <v>Showing TOP-3 profitable customers out of 96 customers</v>
      </c>
    </row>
    <row r="21" spans="4:14" x14ac:dyDescent="0.3">
      <c r="D21" s="5" t="s">
        <v>12</v>
      </c>
      <c r="E21" s="8">
        <v>1521</v>
      </c>
    </row>
    <row r="22" spans="4:14" x14ac:dyDescent="0.3">
      <c r="D22" s="5" t="s">
        <v>13</v>
      </c>
      <c r="E22" s="8">
        <v>1014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206929E1-AE3C-46E5-8C23-EA4B0CA7F247}">
  <ds:schemaRefs/>
</ds:datastoreItem>
</file>

<file path=customXml/itemProps2.xml><?xml version="1.0" encoding="utf-8"?>
<ds:datastoreItem xmlns:ds="http://schemas.openxmlformats.org/officeDocument/2006/customXml" ds:itemID="{8E644B16-DF2F-47D7-A433-ACAD0EC536AE}">
  <ds:schemaRefs/>
</ds:datastoreItem>
</file>

<file path=customXml/itemProps3.xml><?xml version="1.0" encoding="utf-8"?>
<ds:datastoreItem xmlns:ds="http://schemas.openxmlformats.org/officeDocument/2006/customXml" ds:itemID="{AC48DAB1-B46F-4B48-A2E7-E4BD34910124}">
  <ds:schemaRefs/>
</ds:datastoreItem>
</file>

<file path=customXml/itemProps4.xml><?xml version="1.0" encoding="utf-8"?>
<ds:datastoreItem xmlns:ds="http://schemas.openxmlformats.org/officeDocument/2006/customXml" ds:itemID="{F2D29B1C-25D4-44F5-BBC7-F4E5D752719F}">
  <ds:schemaRefs/>
</ds:datastoreItem>
</file>

<file path=customXml/itemProps5.xml><?xml version="1.0" encoding="utf-8"?>
<ds:datastoreItem xmlns:ds="http://schemas.openxmlformats.org/officeDocument/2006/customXml" ds:itemID="{CC3B6407-9174-44F5-8008-0A106E03C5E8}">
  <ds:schemaRefs/>
</ds:datastoreItem>
</file>

<file path=customXml/itemProps6.xml><?xml version="1.0" encoding="utf-8"?>
<ds:datastoreItem xmlns:ds="http://schemas.openxmlformats.org/officeDocument/2006/customXml" ds:itemID="{CEAE2E59-DF52-407C-808D-447098E4AA8C}">
  <ds:schemaRefs/>
</ds:datastoreItem>
</file>

<file path=customXml/itemProps7.xml><?xml version="1.0" encoding="utf-8"?>
<ds:datastoreItem xmlns:ds="http://schemas.openxmlformats.org/officeDocument/2006/customXml" ds:itemID="{B2DD1E6E-CD60-4127-8A9C-8646899C6A28}">
  <ds:schemaRefs/>
</ds:datastoreItem>
</file>

<file path=customXml/itemProps8.xml><?xml version="1.0" encoding="utf-8"?>
<ds:datastoreItem xmlns:ds="http://schemas.openxmlformats.org/officeDocument/2006/customXml" ds:itemID="{57D2FD74-6480-41BA-92BD-0F05E14D8401}">
  <ds:schemaRefs/>
</ds:datastoreItem>
</file>

<file path=customXml/itemProps9.xml><?xml version="1.0" encoding="utf-8"?>
<ds:datastoreItem xmlns:ds="http://schemas.openxmlformats.org/officeDocument/2006/customXml" ds:itemID="{0BFFA638-70D8-49D2-82E9-82AC77CB0FB3}">
  <ds:schemaRefs>
    <ds:schemaRef ds:uri="http://schemas.microsoft.com/DataMashup"/>
  </ds:schemaRefs>
</ds:datastoreItem>
</file>

<file path=customXml/itemProps10.xml><?xml version="1.0" encoding="utf-8"?>
<ds:datastoreItem xmlns:ds="http://schemas.openxmlformats.org/officeDocument/2006/customXml" ds:itemID="{80AD853F-7695-44D7-99D3-779F1C9528D3}">
  <ds:schemaRefs/>
</ds:datastoreItem>
</file>

<file path=customXml/itemProps11.xml><?xml version="1.0" encoding="utf-8"?>
<ds:datastoreItem xmlns:ds="http://schemas.openxmlformats.org/officeDocument/2006/customXml" ds:itemID="{5A326B48-105B-4468-BD66-2DE08FA021EF}">
  <ds:schemaRefs/>
</ds:datastoreItem>
</file>

<file path=customXml/itemProps12.xml><?xml version="1.0" encoding="utf-8"?>
<ds:datastoreItem xmlns:ds="http://schemas.openxmlformats.org/officeDocument/2006/customXml" ds:itemID="{42098B5E-E21C-44FA-B25F-E031CAF4F50C}">
  <ds:schemaRefs/>
</ds:datastoreItem>
</file>

<file path=customXml/itemProps13.xml><?xml version="1.0" encoding="utf-8"?>
<ds:datastoreItem xmlns:ds="http://schemas.openxmlformats.org/officeDocument/2006/customXml" ds:itemID="{1CB9C279-E79D-499E-ABF8-79FBF81C5669}">
  <ds:schemaRefs/>
</ds:datastoreItem>
</file>

<file path=customXml/itemProps14.xml><?xml version="1.0" encoding="utf-8"?>
<ds:datastoreItem xmlns:ds="http://schemas.openxmlformats.org/officeDocument/2006/customXml" ds:itemID="{02E071BE-89CA-466B-A184-E0A4D4A0C1C4}">
  <ds:schemaRefs/>
</ds:datastoreItem>
</file>

<file path=customXml/itemProps15.xml><?xml version="1.0" encoding="utf-8"?>
<ds:datastoreItem xmlns:ds="http://schemas.openxmlformats.org/officeDocument/2006/customXml" ds:itemID="{82BF3A52-0E6B-46D2-A1D4-0EEB08E58A7C}">
  <ds:schemaRefs/>
</ds:datastoreItem>
</file>

<file path=customXml/itemProps16.xml><?xml version="1.0" encoding="utf-8"?>
<ds:datastoreItem xmlns:ds="http://schemas.openxmlformats.org/officeDocument/2006/customXml" ds:itemID="{37EE1CF4-2CF7-47F2-A29E-8304E7EC69EE}">
  <ds:schemaRefs/>
</ds:datastoreItem>
</file>

<file path=customXml/itemProps17.xml><?xml version="1.0" encoding="utf-8"?>
<ds:datastoreItem xmlns:ds="http://schemas.openxmlformats.org/officeDocument/2006/customXml" ds:itemID="{9C345180-9100-40A7-B351-E0ED78635291}">
  <ds:schemaRefs/>
</ds:datastoreItem>
</file>

<file path=customXml/itemProps18.xml><?xml version="1.0" encoding="utf-8"?>
<ds:datastoreItem xmlns:ds="http://schemas.openxmlformats.org/officeDocument/2006/customXml" ds:itemID="{0BFB0D06-B529-40DA-B825-8169436ED0DD}">
  <ds:schemaRefs/>
</ds:datastoreItem>
</file>

<file path=customXml/itemProps19.xml><?xml version="1.0" encoding="utf-8"?>
<ds:datastoreItem xmlns:ds="http://schemas.openxmlformats.org/officeDocument/2006/customXml" ds:itemID="{574CE166-F6FA-4A23-9669-EA7C05AC9F0F}">
  <ds:schemaRefs/>
</ds:datastoreItem>
</file>

<file path=customXml/itemProps20.xml><?xml version="1.0" encoding="utf-8"?>
<ds:datastoreItem xmlns:ds="http://schemas.openxmlformats.org/officeDocument/2006/customXml" ds:itemID="{CF720793-CC48-4271-B2CE-3EFC070A483A}">
  <ds:schemaRefs/>
</ds:datastoreItem>
</file>

<file path=customXml/itemProps21.xml><?xml version="1.0" encoding="utf-8"?>
<ds:datastoreItem xmlns:ds="http://schemas.openxmlformats.org/officeDocument/2006/customXml" ds:itemID="{FF585475-4DAD-4D13-895E-0C4BAF967DA2}">
  <ds:schemaRefs/>
</ds:datastoreItem>
</file>

<file path=customXml/itemProps22.xml><?xml version="1.0" encoding="utf-8"?>
<ds:datastoreItem xmlns:ds="http://schemas.openxmlformats.org/officeDocument/2006/customXml" ds:itemID="{B5B62EE4-C422-4523-A960-5C3E70A6C8A1}">
  <ds:schemaRefs/>
</ds:datastoreItem>
</file>

<file path=customXml/itemProps23.xml><?xml version="1.0" encoding="utf-8"?>
<ds:datastoreItem xmlns:ds="http://schemas.openxmlformats.org/officeDocument/2006/customXml" ds:itemID="{FACCD39F-F98C-4628-A39C-1EBB17FB493E}">
  <ds:schemaRefs/>
</ds:datastoreItem>
</file>

<file path=customXml/itemProps24.xml><?xml version="1.0" encoding="utf-8"?>
<ds:datastoreItem xmlns:ds="http://schemas.openxmlformats.org/officeDocument/2006/customXml" ds:itemID="{4B442E29-4D15-469F-8FEF-43C97C40C6DA}">
  <ds:schemaRefs/>
</ds:datastoreItem>
</file>

<file path=customXml/itemProps25.xml><?xml version="1.0" encoding="utf-8"?>
<ds:datastoreItem xmlns:ds="http://schemas.openxmlformats.org/officeDocument/2006/customXml" ds:itemID="{F752DC00-D4BD-4747-B227-EDE424FF3BE1}">
  <ds:schemaRefs/>
</ds:datastoreItem>
</file>

<file path=customXml/itemProps26.xml><?xml version="1.0" encoding="utf-8"?>
<ds:datastoreItem xmlns:ds="http://schemas.openxmlformats.org/officeDocument/2006/customXml" ds:itemID="{F2D928AB-FDAD-4E2A-89F7-DB7EDF9D99E2}">
  <ds:schemaRefs/>
</ds:datastoreItem>
</file>

<file path=customXml/itemProps27.xml><?xml version="1.0" encoding="utf-8"?>
<ds:datastoreItem xmlns:ds="http://schemas.openxmlformats.org/officeDocument/2006/customXml" ds:itemID="{CE3F38E3-0F57-4AE4-AD2F-3A2CC587C602}">
  <ds:schemaRefs/>
</ds:datastoreItem>
</file>

<file path=customXml/itemProps28.xml><?xml version="1.0" encoding="utf-8"?>
<ds:datastoreItem xmlns:ds="http://schemas.openxmlformats.org/officeDocument/2006/customXml" ds:itemID="{F66C2846-216A-4939-9E6B-9673748782C6}">
  <ds:schemaRefs/>
</ds:datastoreItem>
</file>

<file path=customXml/itemProps29.xml><?xml version="1.0" encoding="utf-8"?>
<ds:datastoreItem xmlns:ds="http://schemas.openxmlformats.org/officeDocument/2006/customXml" ds:itemID="{8F9AE49D-4D67-4B17-A0A7-B09CBF8EAE03}">
  <ds:schemaRefs/>
</ds:datastoreItem>
</file>

<file path=customXml/itemProps30.xml><?xml version="1.0" encoding="utf-8"?>
<ds:datastoreItem xmlns:ds="http://schemas.openxmlformats.org/officeDocument/2006/customXml" ds:itemID="{EEE2FA9F-F00F-4647-B3DE-CE6A15CEE3EF}">
  <ds:schemaRefs/>
</ds:datastoreItem>
</file>

<file path=customXml/itemProps31.xml><?xml version="1.0" encoding="utf-8"?>
<ds:datastoreItem xmlns:ds="http://schemas.openxmlformats.org/officeDocument/2006/customXml" ds:itemID="{B1722B24-4C78-4BB3-9A7A-31CF55739A92}">
  <ds:schemaRefs/>
</ds:datastoreItem>
</file>

<file path=customXml/itemProps32.xml><?xml version="1.0" encoding="utf-8"?>
<ds:datastoreItem xmlns:ds="http://schemas.openxmlformats.org/officeDocument/2006/customXml" ds:itemID="{72D8D21A-AB9E-4929-9B69-B91FAA32CF91}">
  <ds:schemaRefs/>
</ds:datastoreItem>
</file>

<file path=customXml/itemProps33.xml><?xml version="1.0" encoding="utf-8"?>
<ds:datastoreItem xmlns:ds="http://schemas.openxmlformats.org/officeDocument/2006/customXml" ds:itemID="{6E5EEBA1-87AE-4091-A173-8EF90221CD34}">
  <ds:schemaRefs/>
</ds:datastoreItem>
</file>

<file path=customXml/itemProps34.xml><?xml version="1.0" encoding="utf-8"?>
<ds:datastoreItem xmlns:ds="http://schemas.openxmlformats.org/officeDocument/2006/customXml" ds:itemID="{EFF1378C-D7C5-4612-BC92-CF461E765EC7}">
  <ds:schemaRefs/>
</ds:datastoreItem>
</file>

<file path=customXml/itemProps35.xml><?xml version="1.0" encoding="utf-8"?>
<ds:datastoreItem xmlns:ds="http://schemas.openxmlformats.org/officeDocument/2006/customXml" ds:itemID="{E19BD10C-43AC-4DC6-9541-FF5D3B8C360C}">
  <ds:schemaRefs/>
</ds:datastoreItem>
</file>

<file path=customXml/itemProps36.xml><?xml version="1.0" encoding="utf-8"?>
<ds:datastoreItem xmlns:ds="http://schemas.openxmlformats.org/officeDocument/2006/customXml" ds:itemID="{8D4A070E-89C2-4F1D-B448-3DEBAEE5772F}">
  <ds:schemaRefs/>
</ds:datastoreItem>
</file>

<file path=customXml/itemProps37.xml><?xml version="1.0" encoding="utf-8"?>
<ds:datastoreItem xmlns:ds="http://schemas.openxmlformats.org/officeDocument/2006/customXml" ds:itemID="{3A7BD6FB-94B8-4DBA-A72E-BFC1715298D1}">
  <ds:schemaRefs/>
</ds:datastoreItem>
</file>

<file path=customXml/itemProps38.xml><?xml version="1.0" encoding="utf-8"?>
<ds:datastoreItem xmlns:ds="http://schemas.openxmlformats.org/officeDocument/2006/customXml" ds:itemID="{8ADE18CD-FE5E-4AA4-8986-070BA85BDC85}">
  <ds:schemaRefs/>
</ds:datastoreItem>
</file>

<file path=customXml/itemProps39.xml><?xml version="1.0" encoding="utf-8"?>
<ds:datastoreItem xmlns:ds="http://schemas.openxmlformats.org/officeDocument/2006/customXml" ds:itemID="{DC168ADB-A0B2-43BB-B9DC-514D71350A4A}">
  <ds:schemaRefs/>
</ds:datastoreItem>
</file>

<file path=customXml/itemProps40.xml><?xml version="1.0" encoding="utf-8"?>
<ds:datastoreItem xmlns:ds="http://schemas.openxmlformats.org/officeDocument/2006/customXml" ds:itemID="{0E2D9CFB-6645-48B9-9CA3-FE222252A213}">
  <ds:schemaRefs/>
</ds:datastoreItem>
</file>

<file path=customXml/itemProps41.xml><?xml version="1.0" encoding="utf-8"?>
<ds:datastoreItem xmlns:ds="http://schemas.openxmlformats.org/officeDocument/2006/customXml" ds:itemID="{341A26CA-B5F6-4AC8-BB10-6BFA5225966C}">
  <ds:schemaRefs/>
</ds:datastoreItem>
</file>

<file path=customXml/itemProps42.xml><?xml version="1.0" encoding="utf-8"?>
<ds:datastoreItem xmlns:ds="http://schemas.openxmlformats.org/officeDocument/2006/customXml" ds:itemID="{649EFB8F-9B09-4D3F-9A32-A9BEC92F750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Dashboard</vt:lpstr>
      <vt:lpstr>Sheet1</vt:lpstr>
      <vt:lpstr>Analysis</vt:lpstr>
      <vt:lpstr>All_Transaction</vt:lpstr>
      <vt:lpstr>COGS</vt:lpstr>
      <vt:lpstr>Net_Profit</vt:lpstr>
      <vt:lpstr>Sheet1!Print_Area</vt:lpstr>
      <vt:lpstr>Quantity</vt:lpstr>
      <vt:lpstr>Revenue</vt:lpstr>
      <vt:lpstr>Total_country</vt:lpstr>
      <vt:lpstr>Total_customers</vt:lpstr>
      <vt:lpstr>Total_product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أرينا فهد سعد المالكي</dc:creator>
  <cp:lastModifiedBy>أرينا فهد سعد المالكي</cp:lastModifiedBy>
  <dcterms:created xsi:type="dcterms:W3CDTF">2025-10-20T17:10:18Z</dcterms:created>
  <dcterms:modified xsi:type="dcterms:W3CDTF">2026-04-28T20:40:35Z</dcterms:modified>
</cp:coreProperties>
</file>